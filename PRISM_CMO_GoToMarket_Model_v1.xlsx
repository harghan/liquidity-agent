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GTM Assumptions" sheetId="2" state="visible" r:id="rId2"/>
    <sheet name="Funnel &amp; Pipeline" sheetId="3" state="visible" r:id="rId3"/>
    <sheet name="Channel Economics" sheetId="4" state="visible" r:id="rId4"/>
    <sheet name="Marketing Budget" sheetId="5" state="visible" r:id="rId5"/>
    <sheet name="GTM Launch Calend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&quot;x&quot;"/>
    <numFmt numFmtId="166" formatCode="$#,##0.0"/>
    <numFmt numFmtId="167" formatCode="0.0%"/>
    <numFmt numFmtId="168" formatCode="#,##0.0"/>
  </numFmts>
  <fonts count="12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b val="1"/>
      <color rgb="002563EB"/>
      <sz val="10"/>
    </font>
    <font>
      <name val="Arial"/>
      <i val="1"/>
      <color rgb="0064748B"/>
      <sz val="10"/>
    </font>
    <font>
      <name val="Arial"/>
      <b val="1"/>
      <color rgb="0064748B"/>
      <sz val="9"/>
    </font>
    <font>
      <name val="Arial"/>
      <b val="1"/>
      <color rgb="002563EB"/>
      <sz val="15"/>
    </font>
    <font>
      <name val="Arial"/>
      <b val="1"/>
      <color rgb="000F172A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854D0E"/>
      <sz val="10"/>
    </font>
    <font>
      <name val="Arial"/>
      <i val="1"/>
      <color rgb="0064748B"/>
      <sz val="9"/>
    </font>
  </fonts>
  <fills count="8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FEF9C3"/>
        <bgColor rgb="00FEF9C3"/>
      </patternFill>
    </fill>
    <fill>
      <patternFill patternType="solid">
        <fgColor rgb="00ECFDF5"/>
        <bgColor rgb="00ECFDF5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</border>
    <border>
      <left style="thin">
        <color rgb="00CBD5E1"/>
      </left>
      <right style="thin">
        <color rgb="00CBD5E1"/>
      </right>
      <bottom style="thin">
        <color rgb="00CBD5E1"/>
      </bottom>
    </border>
    <border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164" fontId="5" fillId="2" borderId="2" applyAlignment="1" pivotButton="0" quotePrefix="0" xfId="0">
      <alignment horizontal="center"/>
    </xf>
    <xf numFmtId="165" fontId="5" fillId="2" borderId="2" applyAlignment="1" pivotButton="0" quotePrefix="0" xfId="0">
      <alignment horizontal="center"/>
    </xf>
    <xf numFmtId="0" fontId="6" fillId="3" borderId="0" pivotButton="0" quotePrefix="0" xfId="0"/>
    <xf numFmtId="0" fontId="7" fillId="4" borderId="0" applyAlignment="1" pivotButton="0" quotePrefix="0" xfId="0">
      <alignment horizontal="left"/>
    </xf>
    <xf numFmtId="0" fontId="7" fillId="4" borderId="0" applyAlignment="1" pivotButton="0" quotePrefix="0" xfId="0">
      <alignment horizontal="right"/>
    </xf>
    <xf numFmtId="0" fontId="8" fillId="0" borderId="0" pivotButton="0" quotePrefix="0" xfId="0"/>
    <xf numFmtId="3" fontId="8" fillId="0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0" fontId="9" fillId="0" borderId="0" pivotButton="0" quotePrefix="0" xfId="0"/>
    <xf numFmtId="165" fontId="9" fillId="5" borderId="3" applyAlignment="1" pivotButton="0" quotePrefix="0" xfId="0">
      <alignment horizontal="right"/>
    </xf>
    <xf numFmtId="164" fontId="9" fillId="5" borderId="3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168" fontId="8" fillId="0" borderId="0" applyAlignment="1" pivotButton="0" quotePrefix="0" xfId="0">
      <alignment horizontal="right"/>
    </xf>
    <xf numFmtId="3" fontId="10" fillId="6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11" fillId="0" borderId="0" pivotButton="0" quotePrefix="0" xfId="0"/>
    <xf numFmtId="167" fontId="10" fillId="6" borderId="0" applyAlignment="1" pivotButton="0" quotePrefix="0" xfId="0">
      <alignment horizontal="right"/>
    </xf>
    <xf numFmtId="164" fontId="10" fillId="6" borderId="0" applyAlignment="1" pivotButton="0" quotePrefix="0" xfId="0">
      <alignment horizontal="right"/>
    </xf>
    <xf numFmtId="165" fontId="10" fillId="6" borderId="0" applyAlignment="1" pivotButton="0" quotePrefix="0" xfId="0">
      <alignment horizontal="right"/>
    </xf>
    <xf numFmtId="0" fontId="7" fillId="4" borderId="0" pivotButton="0" quotePrefix="0" xfId="0"/>
    <xf numFmtId="0" fontId="2" fillId="3" borderId="0" pivotButton="0" quotePrefix="0" xfId="0"/>
    <xf numFmtId="3" fontId="9" fillId="5" borderId="3" applyAlignment="1" pivotButton="0" quotePrefix="0" xfId="0">
      <alignment horizontal="right"/>
    </xf>
    <xf numFmtId="3" fontId="9" fillId="5" borderId="0" applyAlignment="1" pivotButton="0" quotePrefix="0" xfId="0">
      <alignment horizontal="right"/>
    </xf>
    <xf numFmtId="164" fontId="9" fillId="5" borderId="0" applyAlignment="1" pivotButton="0" quotePrefix="0" xfId="0">
      <alignment horizontal="right"/>
    </xf>
    <xf numFmtId="3" fontId="9" fillId="7" borderId="3" applyAlignment="1" pivotButton="0" quotePrefix="0" xfId="0">
      <alignment horizontal="right"/>
    </xf>
    <xf numFmtId="164" fontId="9" fillId="7" borderId="3" applyAlignment="1" pivotButton="0" quotePrefix="0" xfId="0">
      <alignment horizontal="right"/>
    </xf>
    <xf numFmtId="165" fontId="9" fillId="5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168" fontId="0" fillId="0" borderId="0" applyAlignment="1" pivotButton="0" quotePrefix="0" xfId="0">
      <alignment horizontal="right"/>
    </xf>
    <xf numFmtId="0" fontId="9" fillId="5" borderId="4" pivotButton="0" quotePrefix="0" xfId="0"/>
    <xf numFmtId="164" fontId="9" fillId="5" borderId="4" applyAlignment="1" pivotButton="0" quotePrefix="0" xfId="0">
      <alignment horizontal="right"/>
    </xf>
    <xf numFmtId="3" fontId="9" fillId="5" borderId="4" applyAlignment="1" pivotButton="0" quotePrefix="0" xfId="0">
      <alignment horizontal="right"/>
    </xf>
    <xf numFmtId="165" fontId="9" fillId="5" borderId="4" applyAlignment="1" pivotButton="0" quotePrefix="0" xfId="0">
      <alignment horizontal="right"/>
    </xf>
    <xf numFmtId="168" fontId="9" fillId="5" borderId="4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0" fontId="7" fillId="4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6" customWidth="1" min="3" max="3"/>
    <col width="22" customWidth="1" min="4" max="4"/>
    <col width="17" customWidth="1" min="5" max="5"/>
    <col width="25" customWidth="1" min="6" max="6"/>
    <col width="25" customWidth="1" min="7" max="7"/>
    <col width="15" customWidth="1" min="8" max="8"/>
    <col width="14" customWidth="1" min="9" max="9"/>
    <col width="22" customWidth="1" min="10" max="10"/>
  </cols>
  <sheetData>
    <row r="1"/>
    <row r="2">
      <c r="B2" s="1" t="inlineStr">
        <is>
          <t>PRISM TECHNOLOGIES INC. — CMO GTM EXECUTIVE DASHBOARD</t>
        </is>
      </c>
    </row>
    <row r="3">
      <c r="B3" s="2" t="inlineStr">
        <is>
          <t>Institutional Go-To-Market Engine, Demand Gen Funnel Velocity &amp; Channel Economics</t>
        </is>
      </c>
    </row>
    <row r="4">
      <c r="B4" s="3" t="inlineStr">
        <is>
          <t>Institutional Cross-Venue Prediction Market Smart Order Router (Series Seed / Series A GTM Plan)</t>
        </is>
      </c>
    </row>
    <row r="5"/>
    <row r="6">
      <c r="B6" s="4" t="inlineStr">
        <is>
          <t>Y1 SOURCED ARR</t>
        </is>
      </c>
      <c r="D6" s="4" t="inlineStr">
        <is>
          <t>Y1 PIPELINE CREATED</t>
        </is>
      </c>
      <c r="F6" s="4" t="inlineStr">
        <is>
          <t>PIPELINE COVERAGE</t>
        </is>
      </c>
      <c r="H6" s="4" t="inlineStr">
        <is>
          <t>BLENDED CAC</t>
        </is>
      </c>
      <c r="J6" s="4" t="inlineStr">
        <is>
          <t>MARKETING MAGIC NO.</t>
        </is>
      </c>
    </row>
    <row r="7">
      <c r="B7" s="5">
        <f>'Funnel &amp; Pipeline'!O25</f>
        <v/>
      </c>
      <c r="D7" s="5">
        <f>'Funnel &amp; Pipeline'!O18</f>
        <v/>
      </c>
      <c r="F7" s="6">
        <f>'Funnel &amp; Pipeline'!O29</f>
        <v/>
      </c>
      <c r="H7" s="5">
        <f>'Channel Economics'!J13</f>
        <v/>
      </c>
      <c r="J7" s="6">
        <f>'Marketing Budget'!O33</f>
        <v/>
      </c>
    </row>
    <row r="8"/>
    <row r="9"/>
    <row r="10">
      <c r="B10" s="7" t="inlineStr">
        <is>
          <t>ANNUAL GTM PERFORMANCE ROLLUP &amp; SALES EFFICIENCY (5-YEAR OUTLOOK)</t>
        </is>
      </c>
    </row>
    <row r="11">
      <c r="B11" s="8" t="inlineStr">
        <is>
          <t>Go-To-Market Metric</t>
        </is>
      </c>
      <c r="C11" s="9" t="inlineStr">
        <is>
          <t>Year 1 (Seed)</t>
        </is>
      </c>
      <c r="D11" s="9" t="inlineStr">
        <is>
          <t>Year 2 (Expansion)</t>
        </is>
      </c>
      <c r="E11" s="9" t="inlineStr">
        <is>
          <t>Year 3 (Scale)</t>
        </is>
      </c>
      <c r="F11" s="9" t="inlineStr">
        <is>
          <t>Year 4 (Institutional)</t>
        </is>
      </c>
      <c r="G11" s="9" t="inlineStr">
        <is>
          <t>Year 5 (Category King)</t>
        </is>
      </c>
    </row>
    <row r="12">
      <c r="B12" s="10" t="inlineStr">
        <is>
          <t>Institutional MQLs Generated</t>
        </is>
      </c>
      <c r="C12" s="11">
        <f>'Funnel &amp; Pipeline'!O15</f>
        <v/>
      </c>
      <c r="D12" s="11">
        <f>C12*2.8</f>
        <v/>
      </c>
      <c r="E12" s="11">
        <f>D12*2.5</f>
        <v/>
      </c>
      <c r="F12" s="11">
        <f>E12*1.9</f>
        <v/>
      </c>
      <c r="G12" s="11">
        <f>F12*1.6</f>
        <v/>
      </c>
    </row>
    <row r="13">
      <c r="B13" s="10" t="inlineStr">
        <is>
          <t>Sales Qualified Opportunities (SQLs)</t>
        </is>
      </c>
      <c r="C13" s="11">
        <f>'Funnel &amp; Pipeline'!O17</f>
        <v/>
      </c>
      <c r="D13" s="11">
        <f>C13*2.8</f>
        <v/>
      </c>
      <c r="E13" s="11">
        <f>D13*2.5</f>
        <v/>
      </c>
      <c r="F13" s="11">
        <f>E13*1.9</f>
        <v/>
      </c>
      <c r="G13" s="11">
        <f>F13*1.6</f>
        <v/>
      </c>
    </row>
    <row r="14">
      <c r="B14" s="10" t="inlineStr">
        <is>
          <t>Technical Sandbox POCs Launched</t>
        </is>
      </c>
      <c r="C14" s="11">
        <f>'Funnel &amp; Pipeline'!O21</f>
        <v/>
      </c>
      <c r="D14" s="11">
        <f>C14*2.6</f>
        <v/>
      </c>
      <c r="E14" s="11">
        <f>D14*2.4</f>
        <v/>
      </c>
      <c r="F14" s="11">
        <f>E14*1.8</f>
        <v/>
      </c>
      <c r="G14" s="11">
        <f>F14*1.5</f>
        <v/>
      </c>
    </row>
    <row r="15">
      <c r="B15" s="10" t="inlineStr">
        <is>
          <t>New Trading Desks Closed (Won)</t>
        </is>
      </c>
      <c r="C15" s="11">
        <f>'Funnel &amp; Pipeline'!O23</f>
        <v/>
      </c>
      <c r="D15" s="11">
        <f>C15*3.0</f>
        <v/>
      </c>
      <c r="E15" s="11">
        <f>D15*2.5</f>
        <v/>
      </c>
      <c r="F15" s="11">
        <f>E15*1.8</f>
        <v/>
      </c>
      <c r="G15" s="11">
        <f>F15*1.5</f>
        <v/>
      </c>
    </row>
    <row r="16">
      <c r="B16" s="10" t="inlineStr">
        <is>
          <t>Cumulative Marketing-Sourced Desks</t>
        </is>
      </c>
      <c r="C16" s="11">
        <f>C15</f>
        <v/>
      </c>
      <c r="D16" s="11">
        <f>C16+D15</f>
        <v/>
      </c>
      <c r="E16" s="11">
        <f>D16+E15</f>
        <v/>
      </c>
      <c r="F16" s="11">
        <f>E16+F15</f>
        <v/>
      </c>
      <c r="G16" s="11">
        <f>F16+G15</f>
        <v/>
      </c>
    </row>
    <row r="17"/>
    <row r="18">
      <c r="B18" s="10" t="inlineStr">
        <is>
          <t>Marketing Sourced Pipeline ($M)</t>
        </is>
      </c>
      <c r="C18" s="12">
        <f>'Funnel &amp; Pipeline'!O18/1000000</f>
        <v/>
      </c>
      <c r="D18" s="12">
        <f>C18*3.2</f>
        <v/>
      </c>
      <c r="E18" s="12">
        <f>D18*2.7</f>
        <v/>
      </c>
      <c r="F18" s="12">
        <f>E18*2.0</f>
        <v/>
      </c>
      <c r="G18" s="12">
        <f>F18*1.6</f>
        <v/>
      </c>
    </row>
    <row r="19">
      <c r="B19" s="10" t="inlineStr">
        <is>
          <t>Company Net ARR Quota Target ($M)</t>
        </is>
      </c>
      <c r="C19" s="12" t="n">
        <v>1.663</v>
      </c>
      <c r="D19" s="12" t="n">
        <v>7.128</v>
      </c>
      <c r="E19" s="12" t="n">
        <v>23.182</v>
      </c>
      <c r="F19" s="12" t="n">
        <v>48.361</v>
      </c>
      <c r="G19" s="12" t="n">
        <v>82.93300000000001</v>
      </c>
    </row>
    <row r="20">
      <c r="B20" s="13" t="inlineStr">
        <is>
          <t>Pipeline Coverage Ratio (vs Quota)</t>
        </is>
      </c>
      <c r="C20" s="14">
        <f>C18/C19</f>
        <v/>
      </c>
      <c r="D20" s="14">
        <f>D18/D19</f>
        <v/>
      </c>
      <c r="E20" s="14">
        <f>E18/E19</f>
        <v/>
      </c>
      <c r="F20" s="14">
        <f>F18/F19</f>
        <v/>
      </c>
      <c r="G20" s="14">
        <f>G18/G19</f>
        <v/>
      </c>
    </row>
    <row r="21">
      <c r="B21" s="13" t="inlineStr">
        <is>
          <t>Marketing Sourced Net ARR ($)</t>
        </is>
      </c>
      <c r="C21" s="15">
        <f>'Funnel &amp; Pipeline'!O25</f>
        <v/>
      </c>
      <c r="D21" s="15">
        <f>C21*3.8</f>
        <v/>
      </c>
      <c r="E21" s="15">
        <f>D21*2.9</f>
        <v/>
      </c>
      <c r="F21" s="15">
        <f>E21*2.0</f>
        <v/>
      </c>
      <c r="G21" s="15">
        <f>F21*1.6</f>
        <v/>
      </c>
    </row>
    <row r="22">
      <c r="B22" s="10" t="inlineStr">
        <is>
          <t>Marketing Sourced ARR % of Total</t>
        </is>
      </c>
      <c r="C22" s="16">
        <f>C21/(C19*1000000)</f>
        <v/>
      </c>
      <c r="D22" s="16">
        <f>D21/(D19*1000000)</f>
        <v/>
      </c>
      <c r="E22" s="16">
        <f>E21/(E19*1000000)</f>
        <v/>
      </c>
      <c r="F22" s="16">
        <f>F21/(F19*1000000)</f>
        <v/>
      </c>
      <c r="G22" s="16">
        <f>G21/(G19*1000000)</f>
        <v/>
      </c>
    </row>
    <row r="23"/>
    <row r="24">
      <c r="B24" s="10" t="inlineStr">
        <is>
          <t>Total Marketing &amp; GTM Spend ($)</t>
        </is>
      </c>
      <c r="C24" s="17">
        <f>'Marketing Budget'!O29</f>
        <v/>
      </c>
      <c r="D24" s="17">
        <f>C24*2.2</f>
        <v/>
      </c>
      <c r="E24" s="17">
        <f>D24*1.9</f>
        <v/>
      </c>
      <c r="F24" s="17">
        <f>E24*1.7</f>
        <v/>
      </c>
      <c r="G24" s="17">
        <f>F24*1.5</f>
        <v/>
      </c>
    </row>
    <row r="25">
      <c r="B25" s="10" t="inlineStr">
        <is>
          <t>Marketing Spend as % of Net ARR</t>
        </is>
      </c>
      <c r="C25" s="16">
        <f>C24/C21</f>
        <v/>
      </c>
      <c r="D25" s="16">
        <f>D24/D21</f>
        <v/>
      </c>
      <c r="E25" s="16">
        <f>E24/E21</f>
        <v/>
      </c>
      <c r="F25" s="16">
        <f>F24/F21</f>
        <v/>
      </c>
      <c r="G25" s="16">
        <f>G24/G21</f>
        <v/>
      </c>
    </row>
    <row r="26">
      <c r="B26" s="10" t="inlineStr">
        <is>
          <t>Blended Institutional CAC ($)</t>
        </is>
      </c>
      <c r="C26" s="17">
        <f>C24/C15</f>
        <v/>
      </c>
      <c r="D26" s="17">
        <f>D24/D15</f>
        <v/>
      </c>
      <c r="E26" s="17">
        <f>E24/E15</f>
        <v/>
      </c>
      <c r="F26" s="17">
        <f>F24/F15</f>
        <v/>
      </c>
      <c r="G26" s="17">
        <f>G24/G15</f>
        <v/>
      </c>
    </row>
    <row r="27">
      <c r="B27" s="10" t="inlineStr">
        <is>
          <t>Average Payback Period (Months)</t>
        </is>
      </c>
      <c r="C27" s="18">
        <f>(C26/(C21/C15))*12</f>
        <v/>
      </c>
      <c r="D27" s="18">
        <f>(D26/(D21/D15))*12</f>
        <v/>
      </c>
      <c r="E27" s="18">
        <f>(E26/(E21/E15))*12</f>
        <v/>
      </c>
      <c r="F27" s="18">
        <f>(F26/(F21/F15))*12</f>
        <v/>
      </c>
      <c r="G27" s="18">
        <f>(G26/(G21/G15))*12</f>
        <v/>
      </c>
    </row>
    <row r="28">
      <c r="B28" s="13" t="inlineStr">
        <is>
          <t>Marketing Magic Number (Efficiency)</t>
        </is>
      </c>
      <c r="C28" s="14">
        <f>C21/C24</f>
        <v/>
      </c>
      <c r="D28" s="14">
        <f>D21/D24</f>
        <v/>
      </c>
      <c r="E28" s="14">
        <f>E21/E24</f>
        <v/>
      </c>
      <c r="F28" s="14">
        <f>F21/F24</f>
        <v/>
      </c>
      <c r="G28" s="14">
        <f>G21/G24</f>
        <v/>
      </c>
    </row>
    <row r="29">
      <c r="B29" s="13" t="inlineStr">
        <is>
          <t>Institutional LTV / CAC Ratio</t>
        </is>
      </c>
      <c r="C29" s="14">
        <f>'Channel Economics'!L13</f>
        <v/>
      </c>
      <c r="D29" s="14">
        <f>C29*1.2</f>
        <v/>
      </c>
      <c r="E29" s="14">
        <f>D29*1.3</f>
        <v/>
      </c>
      <c r="F29" s="14">
        <f>E29*1.1</f>
        <v/>
      </c>
      <c r="G29" s="14">
        <f>F29*1.05</f>
        <v/>
      </c>
    </row>
  </sheetData>
  <mergeCells count="1">
    <mergeCell ref="B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8" customWidth="1" min="3" max="3"/>
    <col width="14" customWidth="1" min="4" max="4"/>
    <col width="72" customWidth="1" min="5" max="5"/>
  </cols>
  <sheetData>
    <row r="1"/>
    <row r="2">
      <c r="B2" s="1" t="inlineStr">
        <is>
          <t>PRISM GO-TO-MARKET ARCHITECTURE — MASTER ASSUMPTIONS</t>
        </is>
      </c>
    </row>
    <row r="3">
      <c r="B3" s="3" t="inlineStr">
        <is>
          <t>Institutional Target Accounts, Full-Funnel Conversion Rates, Deal Economics &amp; Benchmarks</t>
        </is>
      </c>
    </row>
    <row r="4"/>
    <row r="5">
      <c r="B5" s="7" t="inlineStr">
        <is>
          <t>1. IDEAL CUSTOMER PROFILE (ICP) &amp; TARGET ACCOUNT UNIVERSE</t>
        </is>
      </c>
    </row>
    <row r="6">
      <c r="B6" s="8" t="inlineStr">
        <is>
          <t>Segment / Tier</t>
        </is>
      </c>
      <c r="C6" s="9" t="inlineStr">
        <is>
          <t>Target Accounts</t>
        </is>
      </c>
      <c r="D6" s="9" t="inlineStr">
        <is>
          <t>Unit</t>
        </is>
      </c>
      <c r="E6" s="9" t="inlineStr">
        <is>
          <t>Institutional Profile &amp; Inclusions</t>
        </is>
      </c>
    </row>
    <row r="7">
      <c r="B7" s="10" t="inlineStr">
        <is>
          <t>Tier 1: Global Market Makers &amp; High-Volume Arbs</t>
        </is>
      </c>
      <c r="C7" s="19" t="n">
        <v>45</v>
      </c>
      <c r="D7" s="20" t="inlineStr">
        <is>
          <t>Desks</t>
        </is>
      </c>
      <c r="E7" s="21" t="inlineStr">
        <is>
          <t>Wintermute, Jump, GSR, FalconX, Flow Traders, QCP Capital</t>
        </is>
      </c>
    </row>
    <row r="8">
      <c r="B8" s="10" t="inlineStr">
        <is>
          <t>Tier 2: Systematic Macro &amp; Crypto Hedge Funds</t>
        </is>
      </c>
      <c r="C8" s="19" t="n">
        <v>250</v>
      </c>
      <c r="D8" s="20" t="inlineStr">
        <is>
          <t>Funds</t>
        </is>
      </c>
      <c r="E8" s="21" t="inlineStr">
        <is>
          <t>Brevan Howard, Galaxy, Pantera, Polychain, Point72 Crypto, Millennium</t>
        </is>
      </c>
    </row>
    <row r="9">
      <c r="B9" s="10" t="inlineStr">
        <is>
          <t>Tier 3: Quantitative Prop Desks &amp; Multi-Strat Boutiques</t>
        </is>
      </c>
      <c r="C9" s="19" t="n">
        <v>600</v>
      </c>
      <c r="D9" s="20" t="inlineStr">
        <is>
          <t>Desks</t>
        </is>
      </c>
      <c r="E9" s="21" t="inlineStr">
        <is>
          <t>Chicago/NYC prop trading firms executing statistical arbitrage</t>
        </is>
      </c>
    </row>
    <row r="10">
      <c r="B10" s="10" t="inlineStr">
        <is>
          <t>Tier 4: Algorithmic Long-Tail Quant API Traders</t>
        </is>
      </c>
      <c r="C10" s="19" t="n">
        <v>2200</v>
      </c>
      <c r="D10" s="20" t="inlineStr">
        <is>
          <t>Traders</t>
        </is>
      </c>
      <c r="E10" s="21" t="inlineStr">
        <is>
          <t>Independent quant bots, Python systematic developers, sub-fund desks</t>
        </is>
      </c>
    </row>
    <row r="11">
      <c r="B11" s="10" t="inlineStr">
        <is>
          <t>Total Global Institutional Target Market Universe</t>
        </is>
      </c>
      <c r="C11" s="19" t="n">
        <v>3095</v>
      </c>
      <c r="D11" s="20" t="inlineStr">
        <is>
          <t>Accounts</t>
        </is>
      </c>
      <c r="E11" s="21" t="inlineStr">
        <is>
          <t>Total accessible universe of institutions executing prediction flow</t>
        </is>
      </c>
    </row>
    <row r="12"/>
    <row r="13">
      <c r="B13" s="7" t="inlineStr">
        <is>
          <t>2. INSTITUTIONAL PIPELINE STAGE CONVERSION BENCHMARKS</t>
        </is>
      </c>
    </row>
    <row r="14">
      <c r="B14" s="8" t="inlineStr">
        <is>
          <t>Pipeline Stage Transition</t>
        </is>
      </c>
      <c r="C14" s="9" t="inlineStr">
        <is>
          <t>Conversion Rate</t>
        </is>
      </c>
      <c r="D14" s="9" t="inlineStr">
        <is>
          <t>Unit</t>
        </is>
      </c>
      <c r="E14" s="9" t="inlineStr">
        <is>
          <t>Industry Benchmark / Institutional Validation Criteria</t>
        </is>
      </c>
    </row>
    <row r="15">
      <c r="B15" s="10" t="inlineStr">
        <is>
          <t>Visitor / Viewer to Inbound Inquiry / SDK Clone</t>
        </is>
      </c>
      <c r="C15" s="22" t="n">
        <v>0.045</v>
      </c>
      <c r="D15" s="20" t="inlineStr">
        <is>
          <t>%</t>
        </is>
      </c>
      <c r="E15" s="21" t="inlineStr">
        <is>
          <t>4.5% conversion of technical visitors exploring GitHub/docs</t>
        </is>
      </c>
    </row>
    <row r="16">
      <c r="B16" s="10" t="inlineStr">
        <is>
          <t>Engaged Account to Marketing Qualified Account (MQL)</t>
        </is>
      </c>
      <c r="C16" s="22" t="n">
        <v>0.25</v>
      </c>
      <c r="D16" s="20" t="inlineStr">
        <is>
          <t>%</t>
        </is>
      </c>
      <c r="E16" s="21" t="inlineStr">
        <is>
          <t>25.0% qualification (verified hedge fund / quant domain, &gt;$10M AUM)</t>
        </is>
      </c>
    </row>
    <row r="17">
      <c r="B17" s="10" t="inlineStr">
        <is>
          <t>MQL to Sales Qualified Opportunity (SQL)</t>
        </is>
      </c>
      <c r="C17" s="22" t="n">
        <v>0.4</v>
      </c>
      <c r="D17" s="20" t="inlineStr">
        <is>
          <t>%</t>
        </is>
      </c>
      <c r="E17" s="21" t="inlineStr">
        <is>
          <t>40.0% transition (Head of Trading / CIO demo scheduled)</t>
        </is>
      </c>
    </row>
    <row r="18">
      <c r="B18" s="10" t="inlineStr">
        <is>
          <t>SQL to Technical POC / Sandbox Trial Deployment</t>
        </is>
      </c>
      <c r="C18" s="22" t="n">
        <v>0.6</v>
      </c>
      <c r="D18" s="20" t="inlineStr">
        <is>
          <t>%</t>
        </is>
      </c>
      <c r="E18" s="21" t="inlineStr">
        <is>
          <t>60.0% install API keys, run historical paper-arb simulator</t>
        </is>
      </c>
    </row>
    <row r="19">
      <c r="B19" s="10" t="inlineStr">
        <is>
          <t>Technical POC to Compliance, Security &amp; Legal Review</t>
        </is>
      </c>
      <c r="C19" s="22" t="n">
        <v>0.7</v>
      </c>
      <c r="D19" s="20" t="inlineStr">
        <is>
          <t>%</t>
        </is>
      </c>
      <c r="E19" s="21" t="inlineStr">
        <is>
          <t>70.0% pass latency SLA (&lt;0.5ms) &amp; slippage proof (&gt;200 bps saved)</t>
        </is>
      </c>
    </row>
    <row r="20">
      <c r="B20" s="10" t="inlineStr">
        <is>
          <t>Compliance / Legal Review to Closed Won Master Contract</t>
        </is>
      </c>
      <c r="C20" s="22" t="n">
        <v>0.8</v>
      </c>
      <c r="D20" s="20" t="inlineStr">
        <is>
          <t>%</t>
        </is>
      </c>
      <c r="E20" s="21" t="inlineStr">
        <is>
          <t>80.0% master service agreement (MSA) signed and live trading desk</t>
        </is>
      </c>
    </row>
    <row r="21">
      <c r="B21" s="10" t="inlineStr">
        <is>
          <t>Full-Funnel Cumulative MQL to Closed-Won Win Rate</t>
        </is>
      </c>
      <c r="C21" s="22" t="n">
        <v>0.0672</v>
      </c>
      <c r="D21" s="20" t="inlineStr">
        <is>
          <t>%</t>
        </is>
      </c>
      <c r="E21" s="21" t="inlineStr">
        <is>
          <t>MQL to Closed Won compounding rate (0.25*0.40*0.60*0.70*0.80 = 6.72%)</t>
        </is>
      </c>
    </row>
    <row r="22"/>
    <row r="23">
      <c r="B23" s="7" t="inlineStr">
        <is>
          <t>3. CONTRACT VALUES (ACV) &amp; SALES CYCLE DURATION</t>
        </is>
      </c>
    </row>
    <row r="24">
      <c r="B24" s="8" t="inlineStr">
        <is>
          <t>Contract Metric</t>
        </is>
      </c>
      <c r="C24" s="9" t="inlineStr">
        <is>
          <t>Value</t>
        </is>
      </c>
      <c r="D24" s="9" t="inlineStr">
        <is>
          <t>Unit</t>
        </is>
      </c>
      <c r="E24" s="9" t="inlineStr">
        <is>
          <t>Strategic Context / Sourced Mix</t>
        </is>
      </c>
    </row>
    <row r="25">
      <c r="B25" s="10" t="inlineStr">
        <is>
          <t>Tier 1 Core Quant API Annual ACV</t>
        </is>
      </c>
      <c r="C25" s="23" t="n">
        <v>30000</v>
      </c>
      <c r="D25" s="20" t="inlineStr">
        <is>
          <t>$</t>
        </is>
      </c>
      <c r="E25" s="21" t="inlineStr">
        <is>
          <t>$2,500/mo base systematic API connection</t>
        </is>
      </c>
    </row>
    <row r="26">
      <c r="B26" s="10" t="inlineStr">
        <is>
          <t>Tier 2 Institutional Desk (Flagship) Annual ACV</t>
        </is>
      </c>
      <c r="C26" s="23" t="n">
        <v>144000</v>
      </c>
      <c r="D26" s="20" t="inlineStr">
        <is>
          <t>$</t>
        </is>
      </c>
      <c r="E26" s="21" t="inlineStr">
        <is>
          <t>$12,000/mo multi-seat terminal + Parity Radar</t>
        </is>
      </c>
    </row>
    <row r="27">
      <c r="B27" s="10" t="inlineStr">
        <is>
          <t>Tier 3 Prime Direct (Enterprise) Annual ACV</t>
        </is>
      </c>
      <c r="C27" s="23" t="n">
        <v>420000</v>
      </c>
      <c r="D27" s="20" t="inlineStr">
        <is>
          <t>$</t>
        </is>
      </c>
      <c r="E27" s="21" t="inlineStr">
        <is>
          <t>$35,000/mo dedicated VPC + custom TWAP algos</t>
        </is>
      </c>
    </row>
    <row r="28">
      <c r="B28" s="10" t="inlineStr">
        <is>
          <t>Blended Average Annual Contract Value (ACV)</t>
        </is>
      </c>
      <c r="C28" s="23" t="n">
        <v>162000</v>
      </c>
      <c r="D28" s="20" t="inlineStr">
        <is>
          <t>$</t>
        </is>
      </c>
      <c r="E28" s="21" t="inlineStr">
        <is>
          <t>Weighted average ACV across Tier 1, 2, and 3 contracts</t>
        </is>
      </c>
    </row>
    <row r="29">
      <c r="B29" s="10" t="inlineStr">
        <is>
          <t>Average Institutional Sales Cycle Duration</t>
        </is>
      </c>
      <c r="C29" s="19" t="n">
        <v>45</v>
      </c>
      <c r="D29" s="20" t="inlineStr">
        <is>
          <t>Days</t>
        </is>
      </c>
      <c r="E29" s="21" t="inlineStr">
        <is>
          <t>Initial discovery call to live capital deployment</t>
        </is>
      </c>
    </row>
    <row r="30">
      <c r="B30" s="10" t="inlineStr">
        <is>
          <t>Marketing Pipeline Quota Coverage Target</t>
        </is>
      </c>
      <c r="C30" s="24" t="n">
        <v>3.5</v>
      </c>
      <c r="D30" s="20" t="inlineStr">
        <is>
          <t>x</t>
        </is>
      </c>
      <c r="E30" s="21" t="inlineStr">
        <is>
          <t>Minimum pipeline generated required to guarantee ARR targets</t>
        </is>
      </c>
    </row>
    <row r="31"/>
    <row r="32">
      <c r="B32" s="7" t="inlineStr">
        <is>
          <t>4. MARKETING PROGRAM COSTS &amp; CAMPAIGN BENCHMARKS</t>
        </is>
      </c>
    </row>
    <row r="33">
      <c r="B33" s="8" t="inlineStr">
        <is>
          <t>Marketing Program / Asset</t>
        </is>
      </c>
      <c r="C33" s="9" t="inlineStr">
        <is>
          <t>Unit Cost</t>
        </is>
      </c>
      <c r="D33" s="9" t="inlineStr">
        <is>
          <t>Unit</t>
        </is>
      </c>
      <c r="E33" s="9" t="inlineStr">
        <is>
          <t>Scope of Deliverable / Execution Standard</t>
        </is>
      </c>
    </row>
    <row r="34">
      <c r="B34" s="10" t="inlineStr">
        <is>
          <t>Proprietary Quant Alpha Research Whitepaper</t>
        </is>
      </c>
      <c r="C34" s="23" t="n">
        <v>12000</v>
      </c>
      <c r="D34" s="20" t="inlineStr">
        <is>
          <t>$</t>
        </is>
      </c>
      <c r="E34" s="21" t="inlineStr">
        <is>
          <t>Deep microstructure data analysis + distribution to 5,000 CIOs</t>
        </is>
      </c>
    </row>
    <row r="35">
      <c r="B35" s="10" t="inlineStr">
        <is>
          <t>Private Executive VIP Salon / Dinner (NYC/London/SG)</t>
        </is>
      </c>
      <c r="C35" s="23" t="n">
        <v>15000</v>
      </c>
      <c r="D35" s="20" t="inlineStr">
        <is>
          <t>$</t>
        </is>
      </c>
      <c r="E35" s="21" t="inlineStr">
        <is>
          <t>Exclusive 12-person dinner for Heads of Trading &amp; Macro CIOs</t>
        </is>
      </c>
    </row>
    <row r="36">
      <c r="B36" s="10" t="inlineStr">
        <is>
          <t>Tier-1 Conference Major Presence (FIA Boca, Consensus)</t>
        </is>
      </c>
      <c r="C36" s="23" t="n">
        <v>45000</v>
      </c>
      <c r="D36" s="20" t="inlineStr">
        <is>
          <t>$</t>
        </is>
      </c>
      <c r="E36" s="21" t="inlineStr">
        <is>
          <t>Executive meeting suite, stage keynote, VIP networking reception</t>
        </is>
      </c>
    </row>
    <row r="37">
      <c r="B37" s="10" t="inlineStr">
        <is>
          <t>Technical Sales Engineering POC Enablement Cost</t>
        </is>
      </c>
      <c r="C37" s="23" t="n">
        <v>5000</v>
      </c>
      <c r="D37" s="20" t="inlineStr">
        <is>
          <t>$</t>
        </is>
      </c>
      <c r="E37" s="21" t="inlineStr">
        <is>
          <t>Dedicated integration engineer hours per trial sandbox</t>
        </is>
      </c>
    </row>
    <row r="38">
      <c r="B38" s="10" t="inlineStr">
        <is>
          <t>Target Inbound Cost per Qualified Lead (CPL)</t>
        </is>
      </c>
      <c r="C38" s="23" t="n">
        <v>850</v>
      </c>
      <c r="D38" s="20" t="inlineStr">
        <is>
          <t>$</t>
        </is>
      </c>
      <c r="E38" s="21" t="inlineStr">
        <is>
          <t>Blended paid search, technical newsletters, and retargeting</t>
        </is>
      </c>
    </row>
  </sheetData>
  <mergeCells count="4">
    <mergeCell ref="B23:E23"/>
    <mergeCell ref="B13:E13"/>
    <mergeCell ref="B5:E5"/>
    <mergeCell ref="B32:E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/>
    <row r="2">
      <c r="B2" s="1" t="inlineStr">
        <is>
          <t>PRISM 12-MONTH INSTITUTIONAL PIPELINE &amp; FUNNEL WATERFALL</t>
        </is>
      </c>
    </row>
    <row r="3">
      <c r="B3" s="3" t="inlineStr">
        <is>
          <t>Stage-by-Stage Account Progression from Inbound Awareness to Live Trading Desks</t>
        </is>
      </c>
    </row>
    <row r="4"/>
    <row r="5">
      <c r="B5" s="25" t="inlineStr">
        <is>
          <t>Funnel Stage / Pipeline Metric</t>
        </is>
      </c>
      <c r="C5" s="9" t="inlineStr">
        <is>
          <t>Month 1</t>
        </is>
      </c>
      <c r="D5" s="9" t="inlineStr">
        <is>
          <t>Month 2</t>
        </is>
      </c>
      <c r="E5" s="9" t="inlineStr">
        <is>
          <t>Month 3</t>
        </is>
      </c>
      <c r="F5" s="9" t="inlineStr">
        <is>
          <t>Month 4</t>
        </is>
      </c>
      <c r="G5" s="9" t="inlineStr">
        <is>
          <t>Month 5</t>
        </is>
      </c>
      <c r="H5" s="9" t="inlineStr">
        <is>
          <t>Month 6</t>
        </is>
      </c>
      <c r="I5" s="9" t="inlineStr">
        <is>
          <t>Month 7</t>
        </is>
      </c>
      <c r="J5" s="9" t="inlineStr">
        <is>
          <t>Month 8</t>
        </is>
      </c>
      <c r="K5" s="9" t="inlineStr">
        <is>
          <t>Month 9</t>
        </is>
      </c>
      <c r="L5" s="9" t="inlineStr">
        <is>
          <t>Month 10</t>
        </is>
      </c>
      <c r="M5" s="9" t="inlineStr">
        <is>
          <t>Month 11</t>
        </is>
      </c>
      <c r="N5" s="9" t="inlineStr">
        <is>
          <t>Month 12</t>
        </is>
      </c>
      <c r="O5" s="9" t="inlineStr">
        <is>
          <t>Full Year 1</t>
        </is>
      </c>
    </row>
    <row r="6">
      <c r="B6" s="26" t="inlineStr">
        <is>
          <t>TOP OF FUNNEL (AWARENESS &amp; ENGAGEMENT)</t>
        </is>
      </c>
    </row>
    <row r="7">
      <c r="B7" s="13" t="inlineStr">
        <is>
          <t>Unique Technical Web Visitors</t>
        </is>
      </c>
      <c r="C7" s="11" t="n">
        <v>1200</v>
      </c>
      <c r="D7" s="11" t="n">
        <v>1600</v>
      </c>
      <c r="E7" s="11" t="n">
        <v>2200</v>
      </c>
      <c r="F7" s="11" t="n">
        <v>3100</v>
      </c>
      <c r="G7" s="11" t="n">
        <v>4200</v>
      </c>
      <c r="H7" s="11" t="n">
        <v>5500</v>
      </c>
      <c r="I7" s="11" t="n">
        <v>6800</v>
      </c>
      <c r="J7" s="11" t="n">
        <v>8200</v>
      </c>
      <c r="K7" s="11" t="n">
        <v>9800</v>
      </c>
      <c r="L7" s="11" t="n">
        <v>11500</v>
      </c>
      <c r="M7" s="11" t="n">
        <v>13500</v>
      </c>
      <c r="N7" s="11" t="n">
        <v>16000</v>
      </c>
      <c r="O7" s="27">
        <f>SUM(C7:N7)</f>
        <v/>
      </c>
    </row>
    <row r="8">
      <c r="B8" s="13" t="inlineStr">
        <is>
          <t>Quant Research &amp; Alpha Whitepaper Downloads</t>
        </is>
      </c>
      <c r="C8" s="11" t="n">
        <v>85</v>
      </c>
      <c r="D8" s="11" t="n">
        <v>120</v>
      </c>
      <c r="E8" s="11" t="n">
        <v>180</v>
      </c>
      <c r="F8" s="11" t="n">
        <v>260</v>
      </c>
      <c r="G8" s="11" t="n">
        <v>380</v>
      </c>
      <c r="H8" s="11" t="n">
        <v>510</v>
      </c>
      <c r="I8" s="11" t="n">
        <v>650</v>
      </c>
      <c r="J8" s="11" t="n">
        <v>810</v>
      </c>
      <c r="K8" s="11" t="n">
        <v>990</v>
      </c>
      <c r="L8" s="11" t="n">
        <v>1200</v>
      </c>
      <c r="M8" s="11" t="n">
        <v>1450</v>
      </c>
      <c r="N8" s="11" t="n">
        <v>1750</v>
      </c>
      <c r="O8" s="27">
        <f>SUM(C8:N8)</f>
        <v/>
      </c>
    </row>
    <row r="9">
      <c r="B9" s="13" t="inlineStr">
        <is>
          <t>GitHub Repo Stars &amp; Python/Rust SDK Clones</t>
        </is>
      </c>
      <c r="C9" s="11" t="n">
        <v>45</v>
      </c>
      <c r="D9" s="11" t="n">
        <v>70</v>
      </c>
      <c r="E9" s="11" t="n">
        <v>110</v>
      </c>
      <c r="F9" s="11" t="n">
        <v>165</v>
      </c>
      <c r="G9" s="11" t="n">
        <v>240</v>
      </c>
      <c r="H9" s="11" t="n">
        <v>330</v>
      </c>
      <c r="I9" s="11" t="n">
        <v>430</v>
      </c>
      <c r="J9" s="11" t="n">
        <v>550</v>
      </c>
      <c r="K9" s="11" t="n">
        <v>680</v>
      </c>
      <c r="L9" s="11" t="n">
        <v>830</v>
      </c>
      <c r="M9" s="11" t="n">
        <v>1000</v>
      </c>
      <c r="N9" s="11" t="n">
        <v>1200</v>
      </c>
      <c r="O9" s="27">
        <f>SUM(C9:N9)</f>
        <v/>
      </c>
    </row>
    <row r="10">
      <c r="B10" s="13" t="inlineStr">
        <is>
          <t>Developer Sandbox API Registrations</t>
        </is>
      </c>
      <c r="C10" s="11" t="n">
        <v>18</v>
      </c>
      <c r="D10" s="11" t="n">
        <v>26</v>
      </c>
      <c r="E10" s="11" t="n">
        <v>38</v>
      </c>
      <c r="F10" s="11" t="n">
        <v>54</v>
      </c>
      <c r="G10" s="11" t="n">
        <v>76</v>
      </c>
      <c r="H10" s="11" t="n">
        <v>102</v>
      </c>
      <c r="I10" s="11" t="n">
        <v>132</v>
      </c>
      <c r="J10" s="11" t="n">
        <v>168</v>
      </c>
      <c r="K10" s="11" t="n">
        <v>208</v>
      </c>
      <c r="L10" s="11" t="n">
        <v>254</v>
      </c>
      <c r="M10" s="11" t="n">
        <v>306</v>
      </c>
      <c r="N10" s="11" t="n">
        <v>368</v>
      </c>
      <c r="O10" s="27">
        <f>SUM(C10:N10)</f>
        <v/>
      </c>
    </row>
    <row r="11">
      <c r="B11" s="13" t="inlineStr">
        <is>
          <t>Total Engaged Target Accounts</t>
        </is>
      </c>
      <c r="C11" s="28">
        <f>SUM(C8:C10)</f>
        <v/>
      </c>
      <c r="D11" s="28">
        <f>SUM(D8:D10)</f>
        <v/>
      </c>
      <c r="E11" s="28">
        <f>SUM(E8:E10)</f>
        <v/>
      </c>
      <c r="F11" s="28">
        <f>SUM(F8:F10)</f>
        <v/>
      </c>
      <c r="G11" s="28">
        <f>SUM(G8:G10)</f>
        <v/>
      </c>
      <c r="H11" s="28">
        <f>SUM(H8:H10)</f>
        <v/>
      </c>
      <c r="I11" s="28">
        <f>SUM(I8:I10)</f>
        <v/>
      </c>
      <c r="J11" s="28">
        <f>SUM(J8:J10)</f>
        <v/>
      </c>
      <c r="K11" s="28">
        <f>SUM(K8:K10)</f>
        <v/>
      </c>
      <c r="L11" s="28">
        <f>SUM(L8:L10)</f>
        <v/>
      </c>
      <c r="M11" s="28">
        <f>SUM(M8:M10)</f>
        <v/>
      </c>
      <c r="N11" s="28">
        <f>SUM(N8:N10)</f>
        <v/>
      </c>
      <c r="O11" s="27">
        <f>SUM(C11:N11)</f>
        <v/>
      </c>
    </row>
    <row r="12"/>
    <row r="13">
      <c r="B13" s="26" t="inlineStr">
        <is>
          <t>MIDDLE OF FUNNEL (QUALIFICATION &amp; DISCOVERY)</t>
        </is>
      </c>
    </row>
    <row r="14">
      <c r="B14" s="13" t="inlineStr">
        <is>
          <t>Inbound Demo Requests &amp; Form Submissions</t>
        </is>
      </c>
      <c r="C14" s="11" t="n">
        <v>12</v>
      </c>
      <c r="D14" s="11" t="n">
        <v>16</v>
      </c>
      <c r="E14" s="11" t="n">
        <v>24</v>
      </c>
      <c r="F14" s="11" t="n">
        <v>32</v>
      </c>
      <c r="G14" s="11" t="n">
        <v>42</v>
      </c>
      <c r="H14" s="11" t="n">
        <v>55</v>
      </c>
      <c r="I14" s="11" t="n">
        <v>68</v>
      </c>
      <c r="J14" s="11" t="n">
        <v>82</v>
      </c>
      <c r="K14" s="11" t="n">
        <v>98</v>
      </c>
      <c r="L14" s="11" t="n">
        <v>115</v>
      </c>
      <c r="M14" s="11" t="n">
        <v>135</v>
      </c>
      <c r="N14" s="11" t="n">
        <v>160</v>
      </c>
      <c r="O14" s="27">
        <f>SUM(C14:N14)</f>
        <v/>
      </c>
    </row>
    <row r="15">
      <c r="B15" s="13" t="inlineStr">
        <is>
          <t>Marketing Qualified Accounts (MQLs)</t>
        </is>
      </c>
      <c r="C15" s="11">
        <f>ROUND(C14*'GTM Assumptions'!C16, 0)</f>
        <v/>
      </c>
      <c r="D15" s="11">
        <f>ROUND(D14*'GTM Assumptions'!C16, 0)</f>
        <v/>
      </c>
      <c r="E15" s="11">
        <f>ROUND(E14*'GTM Assumptions'!C16, 0)</f>
        <v/>
      </c>
      <c r="F15" s="11">
        <f>ROUND(F14*'GTM Assumptions'!C16, 0)</f>
        <v/>
      </c>
      <c r="G15" s="11">
        <f>ROUND(G14*'GTM Assumptions'!C16, 0)</f>
        <v/>
      </c>
      <c r="H15" s="11">
        <f>ROUND(H14*'GTM Assumptions'!C16, 0)</f>
        <v/>
      </c>
      <c r="I15" s="11">
        <f>ROUND(I14*'GTM Assumptions'!C16, 0)</f>
        <v/>
      </c>
      <c r="J15" s="11">
        <f>ROUND(J14*'GTM Assumptions'!C16, 0)</f>
        <v/>
      </c>
      <c r="K15" s="11">
        <f>ROUND(K14*'GTM Assumptions'!C16, 0)</f>
        <v/>
      </c>
      <c r="L15" s="11">
        <f>ROUND(L14*'GTM Assumptions'!C16, 0)</f>
        <v/>
      </c>
      <c r="M15" s="11">
        <f>ROUND(M14*'GTM Assumptions'!C16, 0)</f>
        <v/>
      </c>
      <c r="N15" s="11">
        <f>ROUND(N14*'GTM Assumptions'!C16, 0)</f>
        <v/>
      </c>
      <c r="O15" s="27">
        <f>SUM(C15:N15)</f>
        <v/>
      </c>
    </row>
    <row r="16">
      <c r="B16" s="13" t="inlineStr">
        <is>
          <t>Discovery Calls Scheduled (Head of Trading)</t>
        </is>
      </c>
      <c r="C16" s="11" t="n">
        <v>6</v>
      </c>
      <c r="D16" s="11" t="n">
        <v>8</v>
      </c>
      <c r="E16" s="11" t="n">
        <v>12</v>
      </c>
      <c r="F16" s="11" t="n">
        <v>16</v>
      </c>
      <c r="G16" s="11" t="n">
        <v>21</v>
      </c>
      <c r="H16" s="11" t="n">
        <v>28</v>
      </c>
      <c r="I16" s="11" t="n">
        <v>34</v>
      </c>
      <c r="J16" s="11" t="n">
        <v>41</v>
      </c>
      <c r="K16" s="11" t="n">
        <v>49</v>
      </c>
      <c r="L16" s="11" t="n">
        <v>58</v>
      </c>
      <c r="M16" s="11" t="n">
        <v>68</v>
      </c>
      <c r="N16" s="11" t="n">
        <v>80</v>
      </c>
      <c r="O16" s="27">
        <f>SUM(C16:N16)</f>
        <v/>
      </c>
    </row>
    <row r="17">
      <c r="B17" s="13" t="inlineStr">
        <is>
          <t>Sales Qualified Opportunities (SQLs)</t>
        </is>
      </c>
      <c r="C17" s="11">
        <f>ROUND(C16*'GTM Assumptions'!C17, 0)</f>
        <v/>
      </c>
      <c r="D17" s="11">
        <f>ROUND(D16*'GTM Assumptions'!C17, 0)</f>
        <v/>
      </c>
      <c r="E17" s="11">
        <f>ROUND(E16*'GTM Assumptions'!C17, 0)</f>
        <v/>
      </c>
      <c r="F17" s="11">
        <f>ROUND(F16*'GTM Assumptions'!C17, 0)</f>
        <v/>
      </c>
      <c r="G17" s="11">
        <f>ROUND(G16*'GTM Assumptions'!C17, 0)</f>
        <v/>
      </c>
      <c r="H17" s="11">
        <f>ROUND(H16*'GTM Assumptions'!C17, 0)</f>
        <v/>
      </c>
      <c r="I17" s="11">
        <f>ROUND(I16*'GTM Assumptions'!C17, 0)</f>
        <v/>
      </c>
      <c r="J17" s="11">
        <f>ROUND(J16*'GTM Assumptions'!C17, 0)</f>
        <v/>
      </c>
      <c r="K17" s="11">
        <f>ROUND(K16*'GTM Assumptions'!C17, 0)</f>
        <v/>
      </c>
      <c r="L17" s="11">
        <f>ROUND(L16*'GTM Assumptions'!C17, 0)</f>
        <v/>
      </c>
      <c r="M17" s="11">
        <f>ROUND(M16*'GTM Assumptions'!C17, 0)</f>
        <v/>
      </c>
      <c r="N17" s="11">
        <f>ROUND(N16*'GTM Assumptions'!C17, 0)</f>
        <v/>
      </c>
      <c r="O17" s="27">
        <f>SUM(C17:N17)</f>
        <v/>
      </c>
    </row>
    <row r="18">
      <c r="B18" s="13" t="inlineStr">
        <is>
          <t>Pipeline Dollar Value Created ($)</t>
        </is>
      </c>
      <c r="C18" s="29">
        <f>C17*'GTM Assumptions'!C28</f>
        <v/>
      </c>
      <c r="D18" s="29">
        <f>D17*'GTM Assumptions'!C28</f>
        <v/>
      </c>
      <c r="E18" s="29">
        <f>E17*'GTM Assumptions'!C28</f>
        <v/>
      </c>
      <c r="F18" s="29">
        <f>F17*'GTM Assumptions'!C28</f>
        <v/>
      </c>
      <c r="G18" s="29">
        <f>G17*'GTM Assumptions'!C28</f>
        <v/>
      </c>
      <c r="H18" s="29">
        <f>H17*'GTM Assumptions'!C28</f>
        <v/>
      </c>
      <c r="I18" s="29">
        <f>I17*'GTM Assumptions'!C28</f>
        <v/>
      </c>
      <c r="J18" s="29">
        <f>J17*'GTM Assumptions'!C28</f>
        <v/>
      </c>
      <c r="K18" s="29">
        <f>K17*'GTM Assumptions'!C28</f>
        <v/>
      </c>
      <c r="L18" s="29">
        <f>L17*'GTM Assumptions'!C28</f>
        <v/>
      </c>
      <c r="M18" s="29">
        <f>M17*'GTM Assumptions'!C28</f>
        <v/>
      </c>
      <c r="N18" s="29">
        <f>N17*'GTM Assumptions'!C28</f>
        <v/>
      </c>
      <c r="O18" s="15">
        <f>SUM(C18:N18)</f>
        <v/>
      </c>
    </row>
    <row r="19"/>
    <row r="20">
      <c r="B20" s="26" t="inlineStr">
        <is>
          <t>LATE FUNNEL (EVALUATION &amp; CLOSING)</t>
        </is>
      </c>
    </row>
    <row r="21">
      <c r="B21" s="13" t="inlineStr">
        <is>
          <t>Technical Sandbox POCs Launched</t>
        </is>
      </c>
      <c r="C21" s="11">
        <f>ROUND(C17*'GTM Assumptions'!C18, 0)</f>
        <v/>
      </c>
      <c r="D21" s="11">
        <f>ROUND(D17*'GTM Assumptions'!C18, 0)</f>
        <v/>
      </c>
      <c r="E21" s="11">
        <f>ROUND(E17*'GTM Assumptions'!C18, 0)</f>
        <v/>
      </c>
      <c r="F21" s="11">
        <f>ROUND(F17*'GTM Assumptions'!C18, 0)</f>
        <v/>
      </c>
      <c r="G21" s="11">
        <f>ROUND(G17*'GTM Assumptions'!C18, 0)</f>
        <v/>
      </c>
      <c r="H21" s="11">
        <f>ROUND(H17*'GTM Assumptions'!C18, 0)</f>
        <v/>
      </c>
      <c r="I21" s="11">
        <f>ROUND(I17*'GTM Assumptions'!C18, 0)</f>
        <v/>
      </c>
      <c r="J21" s="11">
        <f>ROUND(J17*'GTM Assumptions'!C18, 0)</f>
        <v/>
      </c>
      <c r="K21" s="11">
        <f>ROUND(K17*'GTM Assumptions'!C18, 0)</f>
        <v/>
      </c>
      <c r="L21" s="11">
        <f>ROUND(L17*'GTM Assumptions'!C18, 0)</f>
        <v/>
      </c>
      <c r="M21" s="11">
        <f>ROUND(M17*'GTM Assumptions'!C18, 0)</f>
        <v/>
      </c>
      <c r="N21" s="11">
        <f>ROUND(N17*'GTM Assumptions'!C18, 0)</f>
        <v/>
      </c>
      <c r="O21" s="27">
        <f>SUM(C21:N21)</f>
        <v/>
      </c>
    </row>
    <row r="22">
      <c r="B22" s="13" t="inlineStr">
        <is>
          <t>Compliance &amp; Security Due Diligence Reviews</t>
        </is>
      </c>
      <c r="C22" s="11">
        <f>ROUND(C21*'GTM Assumptions'!C19, 0)</f>
        <v/>
      </c>
      <c r="D22" s="11">
        <f>ROUND(D21*'GTM Assumptions'!C19, 0)</f>
        <v/>
      </c>
      <c r="E22" s="11">
        <f>ROUND(E21*'GTM Assumptions'!C19, 0)</f>
        <v/>
      </c>
      <c r="F22" s="11">
        <f>ROUND(F21*'GTM Assumptions'!C19, 0)</f>
        <v/>
      </c>
      <c r="G22" s="11">
        <f>ROUND(G21*'GTM Assumptions'!C19, 0)</f>
        <v/>
      </c>
      <c r="H22" s="11">
        <f>ROUND(H21*'GTM Assumptions'!C19, 0)</f>
        <v/>
      </c>
      <c r="I22" s="11">
        <f>ROUND(I21*'GTM Assumptions'!C19, 0)</f>
        <v/>
      </c>
      <c r="J22" s="11">
        <f>ROUND(J21*'GTM Assumptions'!C19, 0)</f>
        <v/>
      </c>
      <c r="K22" s="11">
        <f>ROUND(K21*'GTM Assumptions'!C19, 0)</f>
        <v/>
      </c>
      <c r="L22" s="11">
        <f>ROUND(L21*'GTM Assumptions'!C19, 0)</f>
        <v/>
      </c>
      <c r="M22" s="11">
        <f>ROUND(M21*'GTM Assumptions'!C19, 0)</f>
        <v/>
      </c>
      <c r="N22" s="11">
        <f>ROUND(N21*'GTM Assumptions'!C19, 0)</f>
        <v/>
      </c>
      <c r="O22" s="27">
        <f>SUM(C22:N22)</f>
        <v/>
      </c>
    </row>
    <row r="23">
      <c r="B23" s="13" t="inlineStr">
        <is>
          <t>New Closed Won Institutional Desks</t>
        </is>
      </c>
      <c r="C23" s="30" t="n">
        <v>1</v>
      </c>
      <c r="D23" s="30" t="n">
        <v>0</v>
      </c>
      <c r="E23" s="30" t="n">
        <v>1</v>
      </c>
      <c r="F23" s="30" t="n">
        <v>1</v>
      </c>
      <c r="G23" s="30" t="n">
        <v>1</v>
      </c>
      <c r="H23" s="30" t="n">
        <v>1</v>
      </c>
      <c r="I23" s="30" t="n">
        <v>1</v>
      </c>
      <c r="J23" s="30" t="n">
        <v>1</v>
      </c>
      <c r="K23" s="30" t="n">
        <v>1</v>
      </c>
      <c r="L23" s="30" t="n">
        <v>2</v>
      </c>
      <c r="M23" s="30" t="n">
        <v>1</v>
      </c>
      <c r="N23" s="30" t="n">
        <v>1</v>
      </c>
      <c r="O23" s="27">
        <f>SUM(C23:N23)</f>
        <v/>
      </c>
    </row>
    <row r="24">
      <c r="B24" s="13" t="inlineStr">
        <is>
          <t>Cumulative Live Trading Desks</t>
        </is>
      </c>
      <c r="C24" s="28">
        <f>C23</f>
        <v/>
      </c>
      <c r="D24" s="28">
        <f>C24+D23</f>
        <v/>
      </c>
      <c r="E24" s="28">
        <f>D24+E23</f>
        <v/>
      </c>
      <c r="F24" s="28">
        <f>E24+F23</f>
        <v/>
      </c>
      <c r="G24" s="28">
        <f>F24+G23</f>
        <v/>
      </c>
      <c r="H24" s="28">
        <f>G24+H23</f>
        <v/>
      </c>
      <c r="I24" s="28">
        <f>H24+I23</f>
        <v/>
      </c>
      <c r="J24" s="28">
        <f>I24+J23</f>
        <v/>
      </c>
      <c r="K24" s="28">
        <f>J24+K23</f>
        <v/>
      </c>
      <c r="L24" s="28">
        <f>K24+L23</f>
        <v/>
      </c>
      <c r="M24" s="28">
        <f>L24+M23</f>
        <v/>
      </c>
      <c r="N24" s="28">
        <f>M24+N23</f>
        <v/>
      </c>
      <c r="O24" s="27">
        <f>N24</f>
        <v/>
      </c>
    </row>
    <row r="25">
      <c r="B25" s="13" t="inlineStr">
        <is>
          <t>Monthly Sourced New ARR ($)</t>
        </is>
      </c>
      <c r="C25" s="17">
        <f>C23*'GTM Assumptions'!C28</f>
        <v/>
      </c>
      <c r="D25" s="17">
        <f>D23*'GTM Assumptions'!C28</f>
        <v/>
      </c>
      <c r="E25" s="17">
        <f>E23*'GTM Assumptions'!C28</f>
        <v/>
      </c>
      <c r="F25" s="17">
        <f>F23*'GTM Assumptions'!C28</f>
        <v/>
      </c>
      <c r="G25" s="17">
        <f>G23*'GTM Assumptions'!C28</f>
        <v/>
      </c>
      <c r="H25" s="17">
        <f>H23*'GTM Assumptions'!C28</f>
        <v/>
      </c>
      <c r="I25" s="17">
        <f>I23*'GTM Assumptions'!C28</f>
        <v/>
      </c>
      <c r="J25" s="17">
        <f>J23*'GTM Assumptions'!C28</f>
        <v/>
      </c>
      <c r="K25" s="17">
        <f>K23*'GTM Assumptions'!C28</f>
        <v/>
      </c>
      <c r="L25" s="17">
        <f>L23*'GTM Assumptions'!C28</f>
        <v/>
      </c>
      <c r="M25" s="17">
        <f>M23*'GTM Assumptions'!C28</f>
        <v/>
      </c>
      <c r="N25" s="17">
        <f>N23*'GTM Assumptions'!C28</f>
        <v/>
      </c>
      <c r="O25" s="15">
        <f>SUM(C25:N25)</f>
        <v/>
      </c>
    </row>
    <row r="26">
      <c r="B26" s="13" t="inlineStr">
        <is>
          <t>Cumulative Sourced ARR ($)</t>
        </is>
      </c>
      <c r="C26" s="31">
        <f>C25</f>
        <v/>
      </c>
      <c r="D26" s="31">
        <f>C26+D25</f>
        <v/>
      </c>
      <c r="E26" s="31">
        <f>D26+E25</f>
        <v/>
      </c>
      <c r="F26" s="31">
        <f>E26+F25</f>
        <v/>
      </c>
      <c r="G26" s="31">
        <f>F26+G25</f>
        <v/>
      </c>
      <c r="H26" s="31">
        <f>G26+H25</f>
        <v/>
      </c>
      <c r="I26" s="31">
        <f>H26+I25</f>
        <v/>
      </c>
      <c r="J26" s="31">
        <f>I26+J25</f>
        <v/>
      </c>
      <c r="K26" s="31">
        <f>J26+K25</f>
        <v/>
      </c>
      <c r="L26" s="31">
        <f>K26+L25</f>
        <v/>
      </c>
      <c r="M26" s="31">
        <f>L26+M25</f>
        <v/>
      </c>
      <c r="N26" s="31">
        <f>M26+N25</f>
        <v/>
      </c>
      <c r="O26" s="15">
        <f>N26</f>
        <v/>
      </c>
    </row>
    <row r="27"/>
    <row r="28">
      <c r="B28" s="26" t="inlineStr">
        <is>
          <t>PIPELINE VELOCITY &amp; COVERAGE</t>
        </is>
      </c>
    </row>
    <row r="29">
      <c r="B29" s="13" t="inlineStr">
        <is>
          <t>Monthly Pipeline Coverage Ratio (vs Target)</t>
        </is>
      </c>
      <c r="C29" s="32">
        <f>C18/(C25+1)</f>
        <v/>
      </c>
      <c r="D29" s="32">
        <f>D18/(D25+1)</f>
        <v/>
      </c>
      <c r="E29" s="32">
        <f>E18/(E25+1)</f>
        <v/>
      </c>
      <c r="F29" s="32">
        <f>F18/(F25+1)</f>
        <v/>
      </c>
      <c r="G29" s="32">
        <f>G18/(G25+1)</f>
        <v/>
      </c>
      <c r="H29" s="32">
        <f>H18/(H25+1)</f>
        <v/>
      </c>
      <c r="I29" s="32">
        <f>I18/(I25+1)</f>
        <v/>
      </c>
      <c r="J29" s="32">
        <f>J18/(J25+1)</f>
        <v/>
      </c>
      <c r="K29" s="32">
        <f>K18/(K25+1)</f>
        <v/>
      </c>
      <c r="L29" s="32">
        <f>L18/(L25+1)</f>
        <v/>
      </c>
      <c r="M29" s="32">
        <f>M18/(M25+1)</f>
        <v/>
      </c>
      <c r="N29" s="32">
        <f>N18/(N25+1)</f>
        <v/>
      </c>
      <c r="O29" s="14">
        <f>O18/O25</f>
        <v/>
      </c>
    </row>
    <row r="30">
      <c r="B30" s="13" t="inlineStr">
        <is>
          <t>Monthly Pipeline Velocity Index ($/Day)</t>
        </is>
      </c>
      <c r="C30" s="17">
        <f>(C17*'GTM Assumptions'!C21*'GTM Assumptions'!C28)/'GTM Assumptions'!C29</f>
        <v/>
      </c>
      <c r="D30" s="17">
        <f>(D17*'GTM Assumptions'!C21*'GTM Assumptions'!C28)/'GTM Assumptions'!C29</f>
        <v/>
      </c>
      <c r="E30" s="17">
        <f>(E17*'GTM Assumptions'!C21*'GTM Assumptions'!C28)/'GTM Assumptions'!C29</f>
        <v/>
      </c>
      <c r="F30" s="17">
        <f>(F17*'GTM Assumptions'!C21*'GTM Assumptions'!C28)/'GTM Assumptions'!C29</f>
        <v/>
      </c>
      <c r="G30" s="17">
        <f>(G17*'GTM Assumptions'!C21*'GTM Assumptions'!C28)/'GTM Assumptions'!C29</f>
        <v/>
      </c>
      <c r="H30" s="17">
        <f>(H17*'GTM Assumptions'!C21*'GTM Assumptions'!C28)/'GTM Assumptions'!C29</f>
        <v/>
      </c>
      <c r="I30" s="17">
        <f>(I17*'GTM Assumptions'!C21*'GTM Assumptions'!C28)/'GTM Assumptions'!C29</f>
        <v/>
      </c>
      <c r="J30" s="17">
        <f>(J17*'GTM Assumptions'!C21*'GTM Assumptions'!C28)/'GTM Assumptions'!C29</f>
        <v/>
      </c>
      <c r="K30" s="17">
        <f>(K17*'GTM Assumptions'!C21*'GTM Assumptions'!C28)/'GTM Assumptions'!C29</f>
        <v/>
      </c>
      <c r="L30" s="17">
        <f>(L17*'GTM Assumptions'!C21*'GTM Assumptions'!C28)/'GTM Assumptions'!C29</f>
        <v/>
      </c>
      <c r="M30" s="17">
        <f>(M17*'GTM Assumptions'!C21*'GTM Assumptions'!C28)/'GTM Assumptions'!C29</f>
        <v/>
      </c>
      <c r="N30" s="17">
        <f>(N17*'GTM Assumptions'!C21*'GTM Assumptions'!C28)/'GTM Assumptions'!C29</f>
        <v/>
      </c>
      <c r="O30" s="15">
        <f>AVERAGE(C30:N30)</f>
        <v/>
      </c>
    </row>
  </sheetData>
  <mergeCells count="4">
    <mergeCell ref="B28:O28"/>
    <mergeCell ref="B13:O13"/>
    <mergeCell ref="B6:O6"/>
    <mergeCell ref="B20:O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45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/>
    <row r="2">
      <c r="B2" s="1" t="inlineStr">
        <is>
          <t>PRISM INSTITUTIONAL MARKETING CHANNELS &amp; UNIT ECONOMICS</t>
        </is>
      </c>
    </row>
    <row r="3">
      <c r="B3" s="3" t="inlineStr">
        <is>
          <t>Comparative Analysis of CAC, LTV/CAC, Payback &amp; Sourced Revenue by Acquisition Channel</t>
        </is>
      </c>
    </row>
    <row r="4"/>
    <row r="5">
      <c r="B5" s="7" t="inlineStr">
        <is>
          <t>ACQUISITION CHANNEL PERFORMANCE MATRIX (YEAR 1 ACTUAL / BUDGET)</t>
        </is>
      </c>
    </row>
    <row r="6">
      <c r="B6" s="8" t="inlineStr">
        <is>
          <t>Marketing Acquisition Channel</t>
        </is>
      </c>
      <c r="C6" s="8" t="inlineStr">
        <is>
          <t>Target Persona / Playbook</t>
        </is>
      </c>
      <c r="D6" s="9" t="inlineStr">
        <is>
          <t>Annual Budget</t>
        </is>
      </c>
      <c r="E6" s="9" t="inlineStr">
        <is>
          <t>MQLs</t>
        </is>
      </c>
      <c r="F6" s="9" t="inlineStr">
        <is>
          <t>SQLs</t>
        </is>
      </c>
      <c r="G6" s="9" t="inlineStr">
        <is>
          <t>POC Trials</t>
        </is>
      </c>
      <c r="H6" s="9" t="inlineStr">
        <is>
          <t>Closed Won</t>
        </is>
      </c>
      <c r="I6" s="9" t="inlineStr">
        <is>
          <t>Sourced ARR</t>
        </is>
      </c>
      <c r="J6" s="9" t="inlineStr">
        <is>
          <t>Channel CAC</t>
        </is>
      </c>
      <c r="K6" s="9" t="inlineStr">
        <is>
          <t>Channel LTV</t>
        </is>
      </c>
      <c r="L6" s="9" t="inlineStr">
        <is>
          <t>LTV / CAC</t>
        </is>
      </c>
      <c r="M6" s="9" t="inlineStr">
        <is>
          <t>Payback (Mo)</t>
        </is>
      </c>
    </row>
    <row r="7">
      <c r="B7" s="13" t="inlineStr">
        <is>
          <t>Account-Based Marketing (ABM) &amp; Outbound</t>
        </is>
      </c>
      <c r="C7" s="21" t="inlineStr">
        <is>
          <t>Top 50 MM &amp; Macro Funds (Wintermute, Jump)</t>
        </is>
      </c>
      <c r="D7" s="33" t="n">
        <v>85000</v>
      </c>
      <c r="E7" s="34" t="n">
        <v>32</v>
      </c>
      <c r="F7" s="34" t="n">
        <v>14</v>
      </c>
      <c r="G7" s="34" t="n">
        <v>8</v>
      </c>
      <c r="H7" s="34" t="n">
        <v>4</v>
      </c>
      <c r="I7" s="35">
        <f>H7*'GTM Assumptions'!C28</f>
        <v/>
      </c>
      <c r="J7" s="33">
        <f>D7/H7</f>
        <v/>
      </c>
      <c r="K7" s="33" t="n">
        <v>3384000</v>
      </c>
      <c r="L7" s="32">
        <f>K7/J7</f>
        <v/>
      </c>
      <c r="M7" s="36">
        <f>(J7/(I7/H7))*12</f>
        <v/>
      </c>
    </row>
    <row r="8">
      <c r="B8" s="13" t="inlineStr">
        <is>
          <t>Quantitative Research &amp; Alpha Whitepapers</t>
        </is>
      </c>
      <c r="C8" s="21" t="inlineStr">
        <is>
          <t>Systematic PMs, Quant Researchers</t>
        </is>
      </c>
      <c r="D8" s="33" t="n">
        <v>55000</v>
      </c>
      <c r="E8" s="34" t="n">
        <v>48</v>
      </c>
      <c r="F8" s="34" t="n">
        <v>18</v>
      </c>
      <c r="G8" s="34" t="n">
        <v>10</v>
      </c>
      <c r="H8" s="34" t="n">
        <v>3</v>
      </c>
      <c r="I8" s="35">
        <f>H8*'GTM Assumptions'!C28</f>
        <v/>
      </c>
      <c r="J8" s="33">
        <f>D8/H8</f>
        <v/>
      </c>
      <c r="K8" s="33" t="n">
        <v>3384000</v>
      </c>
      <c r="L8" s="32">
        <f>K8/J8</f>
        <v/>
      </c>
      <c r="M8" s="36">
        <f>(J8/(I8/H8))*12</f>
        <v/>
      </c>
    </row>
    <row r="9">
      <c r="B9" s="13" t="inlineStr">
        <is>
          <t>Developer Relations &amp; Open Source SDKs</t>
        </is>
      </c>
      <c r="C9" s="21" t="inlineStr">
        <is>
          <t>Quant Algo Developers, Python/Rust Bots</t>
        </is>
      </c>
      <c r="D9" s="33" t="n">
        <v>65000</v>
      </c>
      <c r="E9" s="34" t="n">
        <v>55</v>
      </c>
      <c r="F9" s="34" t="n">
        <v>16</v>
      </c>
      <c r="G9" s="34" t="n">
        <v>9</v>
      </c>
      <c r="H9" s="34" t="n">
        <v>2</v>
      </c>
      <c r="I9" s="35">
        <f>H9*'GTM Assumptions'!C28</f>
        <v/>
      </c>
      <c r="J9" s="33">
        <f>D9/H9</f>
        <v/>
      </c>
      <c r="K9" s="33" t="n">
        <v>345000</v>
      </c>
      <c r="L9" s="32">
        <f>K9/J9</f>
        <v/>
      </c>
      <c r="M9" s="36">
        <f>(J9/(I9/H9))*12</f>
        <v/>
      </c>
    </row>
    <row r="10">
      <c r="B10" s="13" t="inlineStr">
        <is>
          <t>Industry Conferences &amp; Executive VIP Salons</t>
        </is>
      </c>
      <c r="C10" s="21" t="inlineStr">
        <is>
          <t>Heads of Trading, CIOs, Managing Partners</t>
        </is>
      </c>
      <c r="D10" s="33" t="n">
        <v>115000</v>
      </c>
      <c r="E10" s="34" t="n">
        <v>24</v>
      </c>
      <c r="F10" s="34" t="n">
        <v>12</v>
      </c>
      <c r="G10" s="34" t="n">
        <v>7</v>
      </c>
      <c r="H10" s="34" t="n">
        <v>2</v>
      </c>
      <c r="I10" s="35">
        <f>H10*'GTM Assumptions'!C28</f>
        <v/>
      </c>
      <c r="J10" s="33">
        <f>D10/H10</f>
        <v/>
      </c>
      <c r="K10" s="33" t="n">
        <v>3384000</v>
      </c>
      <c r="L10" s="32">
        <f>K10/J10</f>
        <v/>
      </c>
      <c r="M10" s="36">
        <f>(J10/(I10/H10))*12</f>
        <v/>
      </c>
    </row>
    <row r="11">
      <c r="B11" s="13" t="inlineStr">
        <is>
          <t>Exchange &amp; Venue Ecosystem Co-Marketing</t>
        </is>
      </c>
      <c r="C11" s="21" t="inlineStr">
        <is>
          <t>Polymarket &amp; Kalshi Institutional Flow</t>
        </is>
      </c>
      <c r="D11" s="33" t="n">
        <v>40000</v>
      </c>
      <c r="E11" s="34" t="n">
        <v>35</v>
      </c>
      <c r="F11" s="34" t="n">
        <v>15</v>
      </c>
      <c r="G11" s="34" t="n">
        <v>8</v>
      </c>
      <c r="H11" s="34" t="n">
        <v>1</v>
      </c>
      <c r="I11" s="35">
        <f>H11*'GTM Assumptions'!C28</f>
        <v/>
      </c>
      <c r="J11" s="33">
        <f>D11/H11</f>
        <v/>
      </c>
      <c r="K11" s="33" t="n">
        <v>20160000</v>
      </c>
      <c r="L11" s="32">
        <f>K11/J11</f>
        <v/>
      </c>
      <c r="M11" s="36">
        <f>(J11/(I11/H11))*12</f>
        <v/>
      </c>
    </row>
    <row r="12"/>
    <row r="13">
      <c r="B13" s="37" t="inlineStr">
        <is>
          <t>TOTAL / BLENDED PORTFOLIO AVERAGE</t>
        </is>
      </c>
      <c r="C13" s="37" t="n"/>
      <c r="D13" s="38">
        <f>SUM(D7:D11)</f>
        <v/>
      </c>
      <c r="E13" s="39">
        <f>SUM(E7:E11)</f>
        <v/>
      </c>
      <c r="F13" s="39">
        <f>SUM(F7:F11)</f>
        <v/>
      </c>
      <c r="G13" s="39">
        <f>SUM(G7:G11)</f>
        <v/>
      </c>
      <c r="H13" s="39">
        <f>SUM(H7:H11)</f>
        <v/>
      </c>
      <c r="I13" s="38">
        <f>SUM(I7:I11)</f>
        <v/>
      </c>
      <c r="J13" s="38">
        <f>D13/H13</f>
        <v/>
      </c>
      <c r="K13" s="38">
        <f>AVERAGE(K7:K11)</f>
        <v/>
      </c>
      <c r="L13" s="40">
        <f>K13/J13</f>
        <v/>
      </c>
      <c r="M13" s="41">
        <f>(J13/(I13/H13))*12</f>
        <v/>
      </c>
    </row>
  </sheetData>
  <mergeCells count="1">
    <mergeCell ref="B5:M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/>
    <row r="2">
      <c r="B2" s="1" t="inlineStr">
        <is>
          <t>PRISM 12-MONTH MARKETING BUDGET &amp; OPEX ALLOCATION</t>
        </is>
      </c>
    </row>
    <row r="3">
      <c r="B3" s="3" t="inlineStr">
        <is>
          <t>Headcount, Program Spend, MarTech Infrastructure, and Capital Efficiency Monitoring</t>
        </is>
      </c>
    </row>
    <row r="4"/>
    <row r="5">
      <c r="B5" s="25" t="inlineStr">
        <is>
          <t>Budget Category / Line Item</t>
        </is>
      </c>
      <c r="C5" s="9" t="inlineStr">
        <is>
          <t>Month 1</t>
        </is>
      </c>
      <c r="D5" s="9" t="inlineStr">
        <is>
          <t>Month 2</t>
        </is>
      </c>
      <c r="E5" s="9" t="inlineStr">
        <is>
          <t>Month 3</t>
        </is>
      </c>
      <c r="F5" s="9" t="inlineStr">
        <is>
          <t>Month 4</t>
        </is>
      </c>
      <c r="G5" s="9" t="inlineStr">
        <is>
          <t>Month 5</t>
        </is>
      </c>
      <c r="H5" s="9" t="inlineStr">
        <is>
          <t>Month 6</t>
        </is>
      </c>
      <c r="I5" s="9" t="inlineStr">
        <is>
          <t>Month 7</t>
        </is>
      </c>
      <c r="J5" s="9" t="inlineStr">
        <is>
          <t>Month 8</t>
        </is>
      </c>
      <c r="K5" s="9" t="inlineStr">
        <is>
          <t>Month 9</t>
        </is>
      </c>
      <c r="L5" s="9" t="inlineStr">
        <is>
          <t>Month 10</t>
        </is>
      </c>
      <c r="M5" s="9" t="inlineStr">
        <is>
          <t>Month 11</t>
        </is>
      </c>
      <c r="N5" s="9" t="inlineStr">
        <is>
          <t>Month 12</t>
        </is>
      </c>
      <c r="O5" s="9" t="inlineStr">
        <is>
          <t>Full Year 1</t>
        </is>
      </c>
    </row>
    <row r="6">
      <c r="B6" s="26" t="inlineStr">
        <is>
          <t>1. MARKETING PERSONNEL &amp; HEADCOUNT</t>
        </is>
      </c>
    </row>
    <row r="7">
      <c r="B7" s="13" t="inlineStr">
        <is>
          <t>VP Marketing / Chief Marketing Officer</t>
        </is>
      </c>
      <c r="C7" s="17" t="n">
        <v>18300</v>
      </c>
      <c r="D7" s="17" t="n">
        <v>18300</v>
      </c>
      <c r="E7" s="17" t="n">
        <v>18300</v>
      </c>
      <c r="F7" s="17" t="n">
        <v>18300</v>
      </c>
      <c r="G7" s="17" t="n">
        <v>18300</v>
      </c>
      <c r="H7" s="17" t="n">
        <v>18300</v>
      </c>
      <c r="I7" s="17" t="n">
        <v>18300</v>
      </c>
      <c r="J7" s="17" t="n">
        <v>18300</v>
      </c>
      <c r="K7" s="17" t="n">
        <v>18300</v>
      </c>
      <c r="L7" s="17" t="n">
        <v>18300</v>
      </c>
      <c r="M7" s="17" t="n">
        <v>18300</v>
      </c>
      <c r="N7" s="17" t="n">
        <v>18300</v>
      </c>
      <c r="O7" s="15">
        <f>SUM(C7:N7)</f>
        <v/>
      </c>
    </row>
    <row r="8">
      <c r="B8" s="13" t="inlineStr">
        <is>
          <t>Quantitative Research &amp; Content Lead</t>
        </is>
      </c>
      <c r="C8" s="17" t="n">
        <v>0</v>
      </c>
      <c r="D8" s="17" t="n">
        <v>15250</v>
      </c>
      <c r="E8" s="17" t="n">
        <v>15250</v>
      </c>
      <c r="F8" s="17" t="n">
        <v>15250</v>
      </c>
      <c r="G8" s="17" t="n">
        <v>15250</v>
      </c>
      <c r="H8" s="17" t="n">
        <v>15250</v>
      </c>
      <c r="I8" s="17" t="n">
        <v>15250</v>
      </c>
      <c r="J8" s="17" t="n">
        <v>15250</v>
      </c>
      <c r="K8" s="17" t="n">
        <v>15250</v>
      </c>
      <c r="L8" s="17" t="n">
        <v>15250</v>
      </c>
      <c r="M8" s="17" t="n">
        <v>15250</v>
      </c>
      <c r="N8" s="17" t="n">
        <v>15250</v>
      </c>
      <c r="O8" s="15">
        <f>SUM(C8:N8)</f>
        <v/>
      </c>
    </row>
    <row r="9">
      <c r="B9" s="13" t="inlineStr">
        <is>
          <t>Developer Relations &amp; Quant Evangelist</t>
        </is>
      </c>
      <c r="C9" s="17" t="n">
        <v>0</v>
      </c>
      <c r="D9" s="17" t="n">
        <v>0</v>
      </c>
      <c r="E9" s="17" t="n">
        <v>16267</v>
      </c>
      <c r="F9" s="17" t="n">
        <v>16267</v>
      </c>
      <c r="G9" s="17" t="n">
        <v>16267</v>
      </c>
      <c r="H9" s="17" t="n">
        <v>16267</v>
      </c>
      <c r="I9" s="17" t="n">
        <v>16267</v>
      </c>
      <c r="J9" s="17" t="n">
        <v>16267</v>
      </c>
      <c r="K9" s="17" t="n">
        <v>16267</v>
      </c>
      <c r="L9" s="17" t="n">
        <v>16267</v>
      </c>
      <c r="M9" s="17" t="n">
        <v>16267</v>
      </c>
      <c r="N9" s="17" t="n">
        <v>16267</v>
      </c>
      <c r="O9" s="15">
        <f>SUM(C9:N9)</f>
        <v/>
      </c>
    </row>
    <row r="10">
      <c r="B10" s="13" t="inlineStr">
        <is>
          <t>Events &amp; Growth Operations Specialist</t>
        </is>
      </c>
      <c r="C10" s="17" t="n">
        <v>0</v>
      </c>
      <c r="D10" s="17" t="n">
        <v>0</v>
      </c>
      <c r="E10" s="17" t="n">
        <v>0</v>
      </c>
      <c r="F10" s="17" t="n">
        <v>11183</v>
      </c>
      <c r="G10" s="17" t="n">
        <v>11183</v>
      </c>
      <c r="H10" s="17" t="n">
        <v>11183</v>
      </c>
      <c r="I10" s="17" t="n">
        <v>11183</v>
      </c>
      <c r="J10" s="17" t="n">
        <v>11183</v>
      </c>
      <c r="K10" s="17" t="n">
        <v>11183</v>
      </c>
      <c r="L10" s="17" t="n">
        <v>11183</v>
      </c>
      <c r="M10" s="17" t="n">
        <v>11183</v>
      </c>
      <c r="N10" s="17" t="n">
        <v>11183</v>
      </c>
      <c r="O10" s="15">
        <f>SUM(C10:N10)</f>
        <v/>
      </c>
    </row>
    <row r="11">
      <c r="B11" s="13" t="inlineStr">
        <is>
          <t>Total Marketing Headcount Cost</t>
        </is>
      </c>
      <c r="C11" s="17">
        <f>SUM(C7:C10)</f>
        <v/>
      </c>
      <c r="D11" s="17">
        <f>SUM(D7:D10)</f>
        <v/>
      </c>
      <c r="E11" s="17">
        <f>SUM(E7:E10)</f>
        <v/>
      </c>
      <c r="F11" s="17">
        <f>SUM(F7:F10)</f>
        <v/>
      </c>
      <c r="G11" s="17">
        <f>SUM(G7:G10)</f>
        <v/>
      </c>
      <c r="H11" s="17">
        <f>SUM(H7:H10)</f>
        <v/>
      </c>
      <c r="I11" s="17">
        <f>SUM(I7:I10)</f>
        <v/>
      </c>
      <c r="J11" s="17">
        <f>SUM(J7:J10)</f>
        <v/>
      </c>
      <c r="K11" s="17">
        <f>SUM(K7:K10)</f>
        <v/>
      </c>
      <c r="L11" s="17">
        <f>SUM(L7:L10)</f>
        <v/>
      </c>
      <c r="M11" s="17">
        <f>SUM(M7:M10)</f>
        <v/>
      </c>
      <c r="N11" s="17">
        <f>SUM(N7:N10)</f>
        <v/>
      </c>
      <c r="O11" s="15">
        <f>SUM(C11:N11)</f>
        <v/>
      </c>
    </row>
    <row r="12"/>
    <row r="13">
      <c r="B13" s="26" t="inlineStr">
        <is>
          <t>2. MARKETING CAMPAIGNS &amp; PROGRAM SPEND</t>
        </is>
      </c>
    </row>
    <row r="14">
      <c r="B14" s="13" t="inlineStr">
        <is>
          <t>Proprietary Quant Alpha Research Reports</t>
        </is>
      </c>
      <c r="C14" s="17" t="n">
        <v>0</v>
      </c>
      <c r="D14" s="17" t="n">
        <v>12000</v>
      </c>
      <c r="E14" s="17" t="n">
        <v>0</v>
      </c>
      <c r="F14" s="17" t="n">
        <v>12000</v>
      </c>
      <c r="G14" s="17" t="n">
        <v>0</v>
      </c>
      <c r="H14" s="17" t="n">
        <v>12000</v>
      </c>
      <c r="I14" s="17" t="n">
        <v>0</v>
      </c>
      <c r="J14" s="17" t="n">
        <v>12000</v>
      </c>
      <c r="K14" s="17" t="n">
        <v>0</v>
      </c>
      <c r="L14" s="17" t="n">
        <v>12000</v>
      </c>
      <c r="M14" s="17" t="n">
        <v>0</v>
      </c>
      <c r="N14" s="17" t="n">
        <v>12000</v>
      </c>
      <c r="O14" s="15">
        <f>SUM(C14:N14)</f>
        <v/>
      </c>
    </row>
    <row r="15">
      <c r="B15" s="13" t="inlineStr">
        <is>
          <t>Sponsored Technical Media &amp; Retargeting</t>
        </is>
      </c>
      <c r="C15" s="17" t="n">
        <v>3500</v>
      </c>
      <c r="D15" s="17" t="n">
        <v>4500</v>
      </c>
      <c r="E15" s="17" t="n">
        <v>5000</v>
      </c>
      <c r="F15" s="17" t="n">
        <v>5000</v>
      </c>
      <c r="G15" s="17" t="n">
        <v>5500</v>
      </c>
      <c r="H15" s="17" t="n">
        <v>5500</v>
      </c>
      <c r="I15" s="17" t="n">
        <v>6000</v>
      </c>
      <c r="J15" s="17" t="n">
        <v>6000</v>
      </c>
      <c r="K15" s="17" t="n">
        <v>6500</v>
      </c>
      <c r="L15" s="17" t="n">
        <v>6500</v>
      </c>
      <c r="M15" s="17" t="n">
        <v>7000</v>
      </c>
      <c r="N15" s="17" t="n">
        <v>7000</v>
      </c>
      <c r="O15" s="15">
        <f>SUM(C15:N15)</f>
        <v/>
      </c>
    </row>
    <row r="16">
      <c r="B16" s="13" t="inlineStr">
        <is>
          <t>Major Conferences &amp; Executive VIP Salons</t>
        </is>
      </c>
      <c r="C16" s="17" t="n">
        <v>0</v>
      </c>
      <c r="D16" s="17" t="n">
        <v>15000</v>
      </c>
      <c r="E16" s="17" t="n">
        <v>45000</v>
      </c>
      <c r="F16" s="17" t="n">
        <v>0</v>
      </c>
      <c r="G16" s="17" t="n">
        <v>15000</v>
      </c>
      <c r="H16" s="17" t="n">
        <v>45000</v>
      </c>
      <c r="I16" s="17" t="n">
        <v>0</v>
      </c>
      <c r="J16" s="17" t="n">
        <v>15000</v>
      </c>
      <c r="K16" s="17" t="n">
        <v>0</v>
      </c>
      <c r="L16" s="17" t="n">
        <v>30000</v>
      </c>
      <c r="M16" s="17" t="n">
        <v>15000</v>
      </c>
      <c r="N16" s="17" t="n">
        <v>0</v>
      </c>
      <c r="O16" s="15">
        <f>SUM(C16:N16)</f>
        <v/>
      </c>
    </row>
    <row r="17">
      <c r="B17" s="13" t="inlineStr">
        <is>
          <t>DevRel Hackathons, Bug Bounties &amp; Grants</t>
        </is>
      </c>
      <c r="C17" s="17" t="n">
        <v>0</v>
      </c>
      <c r="D17" s="17" t="n">
        <v>0</v>
      </c>
      <c r="E17" s="17" t="n">
        <v>10000</v>
      </c>
      <c r="F17" s="17" t="n">
        <v>0</v>
      </c>
      <c r="G17" s="17" t="n">
        <v>0</v>
      </c>
      <c r="H17" s="17" t="n">
        <v>15000</v>
      </c>
      <c r="I17" s="17" t="n">
        <v>0</v>
      </c>
      <c r="J17" s="17" t="n">
        <v>0</v>
      </c>
      <c r="K17" s="17" t="n">
        <v>15000</v>
      </c>
      <c r="L17" s="17" t="n">
        <v>0</v>
      </c>
      <c r="M17" s="17" t="n">
        <v>0</v>
      </c>
      <c r="N17" s="17" t="n">
        <v>10000</v>
      </c>
      <c r="O17" s="15">
        <f>SUM(C17:N17)</f>
        <v/>
      </c>
    </row>
    <row r="18">
      <c r="B18" s="13" t="inlineStr">
        <is>
          <t>Institutional PR &amp; Communications Agency</t>
        </is>
      </c>
      <c r="C18" s="17" t="n">
        <v>6000</v>
      </c>
      <c r="D18" s="17" t="n">
        <v>6000</v>
      </c>
      <c r="E18" s="17" t="n">
        <v>6000</v>
      </c>
      <c r="F18" s="17" t="n">
        <v>6000</v>
      </c>
      <c r="G18" s="17" t="n">
        <v>6000</v>
      </c>
      <c r="H18" s="17" t="n">
        <v>6000</v>
      </c>
      <c r="I18" s="17" t="n">
        <v>6000</v>
      </c>
      <c r="J18" s="17" t="n">
        <v>6000</v>
      </c>
      <c r="K18" s="17" t="n">
        <v>6000</v>
      </c>
      <c r="L18" s="17" t="n">
        <v>6000</v>
      </c>
      <c r="M18" s="17" t="n">
        <v>6000</v>
      </c>
      <c r="N18" s="17" t="n">
        <v>6000</v>
      </c>
      <c r="O18" s="15">
        <f>SUM(C18:N18)</f>
        <v/>
      </c>
    </row>
    <row r="19">
      <c r="B19" s="13" t="inlineStr">
        <is>
          <t>Design, Brand Identity &amp; Motion Assets</t>
        </is>
      </c>
      <c r="C19" s="17" t="n">
        <v>5000</v>
      </c>
      <c r="D19" s="17" t="n">
        <v>2500</v>
      </c>
      <c r="E19" s="17" t="n">
        <v>2500</v>
      </c>
      <c r="F19" s="17" t="n">
        <v>2500</v>
      </c>
      <c r="G19" s="17" t="n">
        <v>2500</v>
      </c>
      <c r="H19" s="17" t="n">
        <v>2500</v>
      </c>
      <c r="I19" s="17" t="n">
        <v>2500</v>
      </c>
      <c r="J19" s="17" t="n">
        <v>2500</v>
      </c>
      <c r="K19" s="17" t="n">
        <v>2500</v>
      </c>
      <c r="L19" s="17" t="n">
        <v>2500</v>
      </c>
      <c r="M19" s="17" t="n">
        <v>2500</v>
      </c>
      <c r="N19" s="17" t="n">
        <v>2500</v>
      </c>
      <c r="O19" s="15">
        <f>SUM(C19:N19)</f>
        <v/>
      </c>
    </row>
    <row r="20">
      <c r="B20" s="13" t="inlineStr">
        <is>
          <t>Total Marketing Program Spend</t>
        </is>
      </c>
      <c r="C20" s="17">
        <f>SUM(C14:C19)</f>
        <v/>
      </c>
      <c r="D20" s="17">
        <f>SUM(D14:D19)</f>
        <v/>
      </c>
      <c r="E20" s="17">
        <f>SUM(E14:E19)</f>
        <v/>
      </c>
      <c r="F20" s="17">
        <f>SUM(F14:F19)</f>
        <v/>
      </c>
      <c r="G20" s="17">
        <f>SUM(G14:G19)</f>
        <v/>
      </c>
      <c r="H20" s="17">
        <f>SUM(H14:H19)</f>
        <v/>
      </c>
      <c r="I20" s="17">
        <f>SUM(I14:I19)</f>
        <v/>
      </c>
      <c r="J20" s="17">
        <f>SUM(J14:J19)</f>
        <v/>
      </c>
      <c r="K20" s="17">
        <f>SUM(K14:K19)</f>
        <v/>
      </c>
      <c r="L20" s="17">
        <f>SUM(L14:L19)</f>
        <v/>
      </c>
      <c r="M20" s="17">
        <f>SUM(M14:M19)</f>
        <v/>
      </c>
      <c r="N20" s="17">
        <f>SUM(N14:N19)</f>
        <v/>
      </c>
      <c r="O20" s="15">
        <f>SUM(C20:N20)</f>
        <v/>
      </c>
    </row>
    <row r="21"/>
    <row r="22">
      <c r="B22" s="26" t="inlineStr">
        <is>
          <t>3. MARKETING TECHNOLOGY &amp; SOFTWARE (MARTECH)</t>
        </is>
      </c>
    </row>
    <row r="23">
      <c r="B23" s="13" t="inlineStr">
        <is>
          <t>HubSpot / Salesforce Enterprise CRM</t>
        </is>
      </c>
      <c r="C23" s="17" t="n">
        <v>2000</v>
      </c>
      <c r="D23" s="17" t="n">
        <v>2000</v>
      </c>
      <c r="E23" s="17" t="n">
        <v>2000</v>
      </c>
      <c r="F23" s="17" t="n">
        <v>2000</v>
      </c>
      <c r="G23" s="17" t="n">
        <v>2000</v>
      </c>
      <c r="H23" s="17" t="n">
        <v>2000</v>
      </c>
      <c r="I23" s="17" t="n">
        <v>2000</v>
      </c>
      <c r="J23" s="17" t="n">
        <v>2000</v>
      </c>
      <c r="K23" s="17" t="n">
        <v>2000</v>
      </c>
      <c r="L23" s="17" t="n">
        <v>2000</v>
      </c>
      <c r="M23" s="17" t="n">
        <v>2000</v>
      </c>
      <c r="N23" s="17" t="n">
        <v>2000</v>
      </c>
      <c r="O23" s="15">
        <f>SUM(C23:N23)</f>
        <v/>
      </c>
    </row>
    <row r="24">
      <c r="B24" s="13" t="inlineStr">
        <is>
          <t>6sense / Demandbase ABM Intent Data</t>
        </is>
      </c>
      <c r="C24" s="17" t="n">
        <v>3000</v>
      </c>
      <c r="D24" s="17" t="n">
        <v>3000</v>
      </c>
      <c r="E24" s="17" t="n">
        <v>3000</v>
      </c>
      <c r="F24" s="17" t="n">
        <v>3000</v>
      </c>
      <c r="G24" s="17" t="n">
        <v>3000</v>
      </c>
      <c r="H24" s="17" t="n">
        <v>3000</v>
      </c>
      <c r="I24" s="17" t="n">
        <v>3000</v>
      </c>
      <c r="J24" s="17" t="n">
        <v>3000</v>
      </c>
      <c r="K24" s="17" t="n">
        <v>3000</v>
      </c>
      <c r="L24" s="17" t="n">
        <v>3000</v>
      </c>
      <c r="M24" s="17" t="n">
        <v>3000</v>
      </c>
      <c r="N24" s="17" t="n">
        <v>3000</v>
      </c>
      <c r="O24" s="15">
        <f>SUM(C24:N24)</f>
        <v/>
      </c>
    </row>
    <row r="25">
      <c r="B25" s="13" t="inlineStr">
        <is>
          <t>Apollo / ZoomInfo Verified Contacts</t>
        </is>
      </c>
      <c r="C25" s="17" t="n">
        <v>1500</v>
      </c>
      <c r="D25" s="17" t="n">
        <v>1500</v>
      </c>
      <c r="E25" s="17" t="n">
        <v>1500</v>
      </c>
      <c r="F25" s="17" t="n">
        <v>1500</v>
      </c>
      <c r="G25" s="17" t="n">
        <v>1500</v>
      </c>
      <c r="H25" s="17" t="n">
        <v>1500</v>
      </c>
      <c r="I25" s="17" t="n">
        <v>1500</v>
      </c>
      <c r="J25" s="17" t="n">
        <v>1500</v>
      </c>
      <c r="K25" s="17" t="n">
        <v>1500</v>
      </c>
      <c r="L25" s="17" t="n">
        <v>1500</v>
      </c>
      <c r="M25" s="17" t="n">
        <v>1500</v>
      </c>
      <c r="N25" s="17" t="n">
        <v>1500</v>
      </c>
      <c r="O25" s="15">
        <f>SUM(C25:N25)</f>
        <v/>
      </c>
    </row>
    <row r="26">
      <c r="B26" s="13" t="inlineStr">
        <is>
          <t>Webflow, Segment, Hosting &amp; Analytics</t>
        </is>
      </c>
      <c r="C26" s="17" t="n">
        <v>800</v>
      </c>
      <c r="D26" s="17" t="n">
        <v>800</v>
      </c>
      <c r="E26" s="17" t="n">
        <v>800</v>
      </c>
      <c r="F26" s="17" t="n">
        <v>800</v>
      </c>
      <c r="G26" s="17" t="n">
        <v>800</v>
      </c>
      <c r="H26" s="17" t="n">
        <v>800</v>
      </c>
      <c r="I26" s="17" t="n">
        <v>800</v>
      </c>
      <c r="J26" s="17" t="n">
        <v>800</v>
      </c>
      <c r="K26" s="17" t="n">
        <v>800</v>
      </c>
      <c r="L26" s="17" t="n">
        <v>800</v>
      </c>
      <c r="M26" s="17" t="n">
        <v>800</v>
      </c>
      <c r="N26" s="17" t="n">
        <v>800</v>
      </c>
      <c r="O26" s="15">
        <f>SUM(C26:N26)</f>
        <v/>
      </c>
    </row>
    <row r="27">
      <c r="B27" s="13" t="inlineStr">
        <is>
          <t>Total MarTech &amp; Tooling Spend</t>
        </is>
      </c>
      <c r="C27" s="17">
        <f>SUM(C23:C26)</f>
        <v/>
      </c>
      <c r="D27" s="17">
        <f>SUM(D23:D26)</f>
        <v/>
      </c>
      <c r="E27" s="17">
        <f>SUM(E23:E26)</f>
        <v/>
      </c>
      <c r="F27" s="17">
        <f>SUM(F23:F26)</f>
        <v/>
      </c>
      <c r="G27" s="17">
        <f>SUM(G23:G26)</f>
        <v/>
      </c>
      <c r="H27" s="17">
        <f>SUM(H23:H26)</f>
        <v/>
      </c>
      <c r="I27" s="17">
        <f>SUM(I23:I26)</f>
        <v/>
      </c>
      <c r="J27" s="17">
        <f>SUM(J23:J26)</f>
        <v/>
      </c>
      <c r="K27" s="17">
        <f>SUM(K23:K26)</f>
        <v/>
      </c>
      <c r="L27" s="17">
        <f>SUM(L23:L26)</f>
        <v/>
      </c>
      <c r="M27" s="17">
        <f>SUM(M23:M26)</f>
        <v/>
      </c>
      <c r="N27" s="17">
        <f>SUM(N23:N26)</f>
        <v/>
      </c>
      <c r="O27" s="15">
        <f>SUM(C27:N27)</f>
        <v/>
      </c>
    </row>
    <row r="28"/>
    <row r="29">
      <c r="B29" s="13" t="inlineStr">
        <is>
          <t>TOTAL MARKETING &amp; GTM OUTFLOW</t>
        </is>
      </c>
      <c r="C29" s="38">
        <f>C11+C20+C27</f>
        <v/>
      </c>
      <c r="D29" s="38">
        <f>D11+D20+D27</f>
        <v/>
      </c>
      <c r="E29" s="38">
        <f>E11+E20+E27</f>
        <v/>
      </c>
      <c r="F29" s="38">
        <f>F11+F20+F27</f>
        <v/>
      </c>
      <c r="G29" s="38">
        <f>G11+G20+G27</f>
        <v/>
      </c>
      <c r="H29" s="38">
        <f>H11+H20+H27</f>
        <v/>
      </c>
      <c r="I29" s="38">
        <f>I11+I20+I27</f>
        <v/>
      </c>
      <c r="J29" s="38">
        <f>J11+J20+J27</f>
        <v/>
      </c>
      <c r="K29" s="38">
        <f>K11+K20+K27</f>
        <v/>
      </c>
      <c r="L29" s="38">
        <f>L11+L20+L27</f>
        <v/>
      </c>
      <c r="M29" s="38">
        <f>M11+M20+M27</f>
        <v/>
      </c>
      <c r="N29" s="38">
        <f>N11+N20+N27</f>
        <v/>
      </c>
      <c r="O29" s="15">
        <f>SUM(C29:N29)</f>
        <v/>
      </c>
    </row>
    <row r="30">
      <c r="B30" s="13" t="inlineStr">
        <is>
          <t>Cumulative Marketing Spend ($)</t>
        </is>
      </c>
      <c r="C30" s="29">
        <f>C29</f>
        <v/>
      </c>
      <c r="D30" s="29">
        <f>C30+D29</f>
        <v/>
      </c>
      <c r="E30" s="29">
        <f>D30+E29</f>
        <v/>
      </c>
      <c r="F30" s="29">
        <f>E30+F29</f>
        <v/>
      </c>
      <c r="G30" s="29">
        <f>F30+G29</f>
        <v/>
      </c>
      <c r="H30" s="29">
        <f>G30+H29</f>
        <v/>
      </c>
      <c r="I30" s="29">
        <f>H30+I29</f>
        <v/>
      </c>
      <c r="J30" s="29">
        <f>I30+J29</f>
        <v/>
      </c>
      <c r="K30" s="29">
        <f>J30+K29</f>
        <v/>
      </c>
      <c r="L30" s="29">
        <f>K30+L29</f>
        <v/>
      </c>
      <c r="M30" s="29">
        <f>L30+M29</f>
        <v/>
      </c>
      <c r="N30" s="29">
        <f>M30+N29</f>
        <v/>
      </c>
      <c r="O30" s="15">
        <f>N30</f>
        <v/>
      </c>
    </row>
    <row r="31">
      <c r="B31" s="13" t="inlineStr">
        <is>
          <t>Monthly Sourced ARR ($)</t>
        </is>
      </c>
      <c r="C31" s="17">
        <f>'Funnel &amp; Pipeline'!C25</f>
        <v/>
      </c>
      <c r="D31" s="17">
        <f>'Funnel &amp; Pipeline'!D25</f>
        <v/>
      </c>
      <c r="E31" s="17">
        <f>'Funnel &amp; Pipeline'!E25</f>
        <v/>
      </c>
      <c r="F31" s="17">
        <f>'Funnel &amp; Pipeline'!F25</f>
        <v/>
      </c>
      <c r="G31" s="17">
        <f>'Funnel &amp; Pipeline'!G25</f>
        <v/>
      </c>
      <c r="H31" s="17">
        <f>'Funnel &amp; Pipeline'!H25</f>
        <v/>
      </c>
      <c r="I31" s="17">
        <f>'Funnel &amp; Pipeline'!I25</f>
        <v/>
      </c>
      <c r="J31" s="17">
        <f>'Funnel &amp; Pipeline'!J25</f>
        <v/>
      </c>
      <c r="K31" s="17">
        <f>'Funnel &amp; Pipeline'!K25</f>
        <v/>
      </c>
      <c r="L31" s="17">
        <f>'Funnel &amp; Pipeline'!L25</f>
        <v/>
      </c>
      <c r="M31" s="17">
        <f>'Funnel &amp; Pipeline'!M25</f>
        <v/>
      </c>
      <c r="N31" s="17">
        <f>'Funnel &amp; Pipeline'!N25</f>
        <v/>
      </c>
      <c r="O31" s="15">
        <f>'Funnel &amp; Pipeline'!O25</f>
        <v/>
      </c>
    </row>
    <row r="32">
      <c r="B32" s="13" t="inlineStr">
        <is>
          <t>Cumulative Sourced ARR ($)</t>
        </is>
      </c>
      <c r="C32" s="29">
        <f>'Funnel &amp; Pipeline'!C26</f>
        <v/>
      </c>
      <c r="D32" s="29">
        <f>'Funnel &amp; Pipeline'!D26</f>
        <v/>
      </c>
      <c r="E32" s="29">
        <f>'Funnel &amp; Pipeline'!E26</f>
        <v/>
      </c>
      <c r="F32" s="29">
        <f>'Funnel &amp; Pipeline'!F26</f>
        <v/>
      </c>
      <c r="G32" s="29">
        <f>'Funnel &amp; Pipeline'!G26</f>
        <v/>
      </c>
      <c r="H32" s="29">
        <f>'Funnel &amp; Pipeline'!H26</f>
        <v/>
      </c>
      <c r="I32" s="29">
        <f>'Funnel &amp; Pipeline'!I26</f>
        <v/>
      </c>
      <c r="J32" s="29">
        <f>'Funnel &amp; Pipeline'!J26</f>
        <v/>
      </c>
      <c r="K32" s="29">
        <f>'Funnel &amp; Pipeline'!K26</f>
        <v/>
      </c>
      <c r="L32" s="29">
        <f>'Funnel &amp; Pipeline'!L26</f>
        <v/>
      </c>
      <c r="M32" s="29">
        <f>'Funnel &amp; Pipeline'!M26</f>
        <v/>
      </c>
      <c r="N32" s="29">
        <f>'Funnel &amp; Pipeline'!N26</f>
        <v/>
      </c>
      <c r="O32" s="15">
        <f>N32</f>
        <v/>
      </c>
    </row>
    <row r="33">
      <c r="B33" s="13" t="inlineStr">
        <is>
          <t>Marketing Efficiency (Sourced ARR / Spend)</t>
        </is>
      </c>
      <c r="C33" s="42">
        <f>C32/C30</f>
        <v/>
      </c>
      <c r="D33" s="42">
        <f>D32/D30</f>
        <v/>
      </c>
      <c r="E33" s="42">
        <f>E32/E30</f>
        <v/>
      </c>
      <c r="F33" s="42">
        <f>F32/F30</f>
        <v/>
      </c>
      <c r="G33" s="42">
        <f>G32/G30</f>
        <v/>
      </c>
      <c r="H33" s="42">
        <f>H32/H30</f>
        <v/>
      </c>
      <c r="I33" s="42">
        <f>I32/I30</f>
        <v/>
      </c>
      <c r="J33" s="42">
        <f>J32/J30</f>
        <v/>
      </c>
      <c r="K33" s="42">
        <f>K32/K30</f>
        <v/>
      </c>
      <c r="L33" s="42">
        <f>L32/L30</f>
        <v/>
      </c>
      <c r="M33" s="42">
        <f>M32/M30</f>
        <v/>
      </c>
      <c r="N33" s="42">
        <f>N32/N30</f>
        <v/>
      </c>
      <c r="O33" s="14">
        <f>O31/O29</f>
        <v/>
      </c>
    </row>
  </sheetData>
  <mergeCells count="3">
    <mergeCell ref="B13:O13"/>
    <mergeCell ref="B6:O6"/>
    <mergeCell ref="B22:O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4" customWidth="1" min="3" max="3"/>
    <col width="53" customWidth="1" min="4" max="4"/>
    <col width="21" customWidth="1" min="5" max="5"/>
    <col width="47" customWidth="1" min="6" max="6"/>
    <col width="54" customWidth="1" min="7" max="7"/>
    <col width="49" customWidth="1" min="8" max="8"/>
  </cols>
  <sheetData>
    <row r="1"/>
    <row r="2">
      <c r="B2" s="1" t="inlineStr">
        <is>
          <t>PRISM 12-MONTH GO-TO-MARKET EXECUTION ROADMAP</t>
        </is>
      </c>
    </row>
    <row r="3">
      <c r="B3" s="3" t="inlineStr">
        <is>
          <t>Chronological Milestones, Campaign Activations, Research Launches, and Field Marketing</t>
        </is>
      </c>
    </row>
    <row r="4"/>
    <row r="5">
      <c r="B5" s="7" t="inlineStr">
        <is>
          <t>ANNUAL GTM EXECUTION CALENDAR &amp; PRODUCT MARKETING ROADMAP</t>
        </is>
      </c>
    </row>
    <row r="6">
      <c r="B6" s="43" t="inlineStr">
        <is>
          <t>Month</t>
        </is>
      </c>
      <c r="C6" s="43" t="inlineStr">
        <is>
          <t>Quarter</t>
        </is>
      </c>
      <c r="D6" s="8" t="inlineStr">
        <is>
          <t>Campaign / Milestone Initiative</t>
        </is>
      </c>
      <c r="E6" s="8" t="inlineStr">
        <is>
          <t>Category</t>
        </is>
      </c>
      <c r="F6" s="8" t="inlineStr">
        <is>
          <t>Target Audience</t>
        </is>
      </c>
      <c r="G6" s="8" t="inlineStr">
        <is>
          <t>Key Deliverable / Asset</t>
        </is>
      </c>
      <c r="H6" s="8" t="inlineStr">
        <is>
          <t>Primary KPI Target</t>
        </is>
      </c>
    </row>
    <row r="7">
      <c r="B7" s="44" t="inlineStr">
        <is>
          <t>Month 1</t>
        </is>
      </c>
      <c r="C7" s="20" t="inlineStr">
        <is>
          <t>Q1</t>
        </is>
      </c>
      <c r="D7" s="13" t="inlineStr">
        <is>
          <t>Brand &amp; Institutional Website Relaunch</t>
        </is>
      </c>
      <c r="E7" s="10" t="inlineStr">
        <is>
          <t>Brand &amp; Product</t>
        </is>
      </c>
      <c r="F7" s="10" t="inlineStr">
        <is>
          <t>Global Macro &amp; Quant Funds</t>
        </is>
      </c>
      <c r="G7" s="21" t="inlineStr">
        <is>
          <t>Interactive Parity Radar demo &amp; Docs portal</t>
        </is>
      </c>
      <c r="H7" s="45" t="inlineStr">
        <is>
          <t>1,200 unique visitors, 18 API sandboxes</t>
        </is>
      </c>
    </row>
    <row r="8">
      <c r="B8" s="44" t="inlineStr">
        <is>
          <t>Month 2</t>
        </is>
      </c>
      <c r="C8" s="20" t="inlineStr">
        <is>
          <t>Q1</t>
        </is>
      </c>
      <c r="D8" s="13" t="inlineStr">
        <is>
          <t>Research Paper: 'The Cross-Venue Liquidity Gap'</t>
        </is>
      </c>
      <c r="E8" s="10" t="inlineStr">
        <is>
          <t>Quant Research</t>
        </is>
      </c>
      <c r="F8" s="10" t="inlineStr">
        <is>
          <t>Systematic Crypto &amp; Prop Desks</t>
        </is>
      </c>
      <c r="G8" s="21" t="inlineStr">
        <is>
          <t>18-page microstructure whitepaper + dataset</t>
        </is>
      </c>
      <c r="H8" s="45" t="inlineStr">
        <is>
          <t>500 downloads, 15 inbound MQLs</t>
        </is>
      </c>
    </row>
    <row r="9">
      <c r="B9" s="44" t="inlineStr">
        <is>
          <t>Month 3</t>
        </is>
      </c>
      <c r="C9" s="20" t="inlineStr">
        <is>
          <t>Q1</t>
        </is>
      </c>
      <c r="D9" s="13" t="inlineStr">
        <is>
          <t>Consensus &amp; FIA Boca Private Dinner Salon</t>
        </is>
      </c>
      <c r="E9" s="10" t="inlineStr">
        <is>
          <t>Field Marketing</t>
        </is>
      </c>
      <c r="F9" s="10" t="inlineStr">
        <is>
          <t>Top 20 Crypto Market Makers &amp; Arbs</t>
        </is>
      </c>
      <c r="G9" s="21" t="inlineStr">
        <is>
          <t>12-person private VIP dinner in Delray Beach</t>
        </is>
      </c>
      <c r="H9" s="45" t="inlineStr">
        <is>
          <t>4 Technical POCs launched</t>
        </is>
      </c>
    </row>
    <row r="10">
      <c r="B10" s="44" t="inlineStr">
        <is>
          <t>Month 4</t>
        </is>
      </c>
      <c r="C10" s="20" t="inlineStr">
        <is>
          <t>Q2</t>
        </is>
      </c>
      <c r="D10" s="13" t="inlineStr">
        <is>
          <t>PRISM Python &amp; Rust SDK v1.0 Launch</t>
        </is>
      </c>
      <c r="E10" s="10" t="inlineStr">
        <is>
          <t>DevRel &amp; Product</t>
        </is>
      </c>
      <c r="F10" s="10" t="inlineStr">
        <is>
          <t>Systematic Algo Developers</t>
        </is>
      </c>
      <c r="G10" s="21" t="inlineStr">
        <is>
          <t>Open-source GitHub repo, FIX drop-copy guide</t>
        </is>
      </c>
      <c r="H10" s="45" t="inlineStr">
        <is>
          <t>150 stars, 50 git clones, 8 MQLs</t>
        </is>
      </c>
    </row>
    <row r="11">
      <c r="B11" s="44" t="inlineStr">
        <is>
          <t>Month 5</t>
        </is>
      </c>
      <c r="C11" s="20" t="inlineStr">
        <is>
          <t>Q2</t>
        </is>
      </c>
      <c r="D11" s="13" t="inlineStr">
        <is>
          <t>Research Paper: 'Oracle Latency &amp; Resolution Risk'</t>
        </is>
      </c>
      <c r="E11" s="10" t="inlineStr">
        <is>
          <t>Quant Research</t>
        </is>
      </c>
      <c r="F11" s="10" t="inlineStr">
        <is>
          <t>Event-Driven &amp; Macro PMs</t>
        </is>
      </c>
      <c r="G11" s="21" t="inlineStr">
        <is>
          <t>Empirical study on UMA vs Pyth resolution lag</t>
        </is>
      </c>
      <c r="H11" s="45" t="inlineStr">
        <is>
          <t>750 downloads, 20 inbound MQLs</t>
        </is>
      </c>
    </row>
    <row r="12">
      <c r="B12" s="44" t="inlineStr">
        <is>
          <t>Month 6</t>
        </is>
      </c>
      <c r="C12" s="20" t="inlineStr">
        <is>
          <t>Q2</t>
        </is>
      </c>
      <c r="D12" s="13" t="inlineStr">
        <is>
          <t>Tier 2 Institutional Desk Flagship Campaign</t>
        </is>
      </c>
      <c r="E12" s="10" t="inlineStr">
        <is>
          <t>ABM Outbound</t>
        </is>
      </c>
      <c r="F12" s="10" t="inlineStr">
        <is>
          <t>Mid-Tier Multi-Strat Hedge Funds</t>
        </is>
      </c>
      <c r="G12" s="21" t="inlineStr">
        <is>
          <t>Bespoke slippage audit reports per fund</t>
        </is>
      </c>
      <c r="H12" s="45" t="inlineStr">
        <is>
          <t>6 SQLs, 2 live desks signed</t>
        </is>
      </c>
    </row>
    <row r="13">
      <c r="B13" s="44" t="inlineStr">
        <is>
          <t>Month 7</t>
        </is>
      </c>
      <c r="C13" s="20" t="inlineStr">
        <is>
          <t>Q3</t>
        </is>
      </c>
      <c r="D13" s="13" t="inlineStr">
        <is>
          <t>Polymarket &amp; Kalshi Co-Marketing Webinar</t>
        </is>
      </c>
      <c r="E13" s="10" t="inlineStr">
        <is>
          <t>Ecosystem</t>
        </is>
      </c>
      <c r="F13" s="10" t="inlineStr">
        <is>
          <t>Institutional Prediction Market Participants</t>
        </is>
      </c>
      <c r="G13" s="21" t="inlineStr">
        <is>
          <t>Joint technical webinar on order routing efficiency</t>
        </is>
      </c>
      <c r="H13" s="45" t="inlineStr">
        <is>
          <t>800 registrants, 35 MQLs</t>
        </is>
      </c>
    </row>
    <row r="14">
      <c r="B14" s="44" t="inlineStr">
        <is>
          <t>Month 8</t>
        </is>
      </c>
      <c r="C14" s="20" t="inlineStr">
        <is>
          <t>Q3</t>
        </is>
      </c>
      <c r="D14" s="13" t="inlineStr">
        <is>
          <t>London Quant Executive Salon (Mayfair)</t>
        </is>
      </c>
      <c r="E14" s="10" t="inlineStr">
        <is>
          <t>Field Marketing</t>
        </is>
      </c>
      <c r="F14" s="10" t="inlineStr">
        <is>
          <t>UK &amp; European Macro Hedge Funds</t>
        </is>
      </c>
      <c r="G14" s="21" t="inlineStr">
        <is>
          <t>Private salon dinner during London Blockchain Week</t>
        </is>
      </c>
      <c r="H14" s="45" t="inlineStr">
        <is>
          <t>3 Technical POCs launched</t>
        </is>
      </c>
    </row>
    <row r="15">
      <c r="B15" s="44" t="inlineStr">
        <is>
          <t>Month 9</t>
        </is>
      </c>
      <c r="C15" s="20" t="inlineStr">
        <is>
          <t>Q3</t>
        </is>
      </c>
      <c r="D15" s="13" t="inlineStr">
        <is>
          <t>PRISM Quant Trading Hackathon ($50k Prizes)</t>
        </is>
      </c>
      <c r="E15" s="10" t="inlineStr">
        <is>
          <t>DevRel &amp; Community</t>
        </is>
      </c>
      <c r="F15" s="10" t="inlineStr">
        <is>
          <t>Algorithmic Quants &amp; Student Trading Clubs</t>
        </is>
      </c>
      <c r="G15" s="21" t="inlineStr">
        <is>
          <t>Live sandbox paper-arb competition</t>
        </is>
      </c>
      <c r="H15" s="45" t="inlineStr">
        <is>
          <t>250 participating quants, 5 Tier 1 API clients</t>
        </is>
      </c>
    </row>
    <row r="16">
      <c r="B16" s="44" t="inlineStr">
        <is>
          <t>Month 10</t>
        </is>
      </c>
      <c r="C16" s="20" t="inlineStr">
        <is>
          <t>Q4</t>
        </is>
      </c>
      <c r="D16" s="13" t="inlineStr">
        <is>
          <t>Annual 'State of Prediction Markets' Report</t>
        </is>
      </c>
      <c r="E16" s="10" t="inlineStr">
        <is>
          <t>Flagship Content</t>
        </is>
      </c>
      <c r="F16" s="10" t="inlineStr">
        <is>
          <t>Institutional Investors &amp; Industry Media</t>
        </is>
      </c>
      <c r="G16" s="21" t="inlineStr">
        <is>
          <t>Comprehensive 35-page annual market review</t>
        </is>
      </c>
      <c r="H16" s="45" t="inlineStr">
        <is>
          <t>2,500 downloads, Bloomberg/Coindesk press</t>
        </is>
      </c>
    </row>
    <row r="17">
      <c r="B17" s="44" t="inlineStr">
        <is>
          <t>Month 11</t>
        </is>
      </c>
      <c r="C17" s="20" t="inlineStr">
        <is>
          <t>Q4</t>
        </is>
      </c>
      <c r="D17" s="13" t="inlineStr">
        <is>
          <t>Secaucus NY4 Co-Location Expansion Launch</t>
        </is>
      </c>
      <c r="E17" s="10" t="inlineStr">
        <is>
          <t>Enterprise Product</t>
        </is>
      </c>
      <c r="F17" s="10" t="inlineStr">
        <is>
          <t>Tier 1 High-Frequency Market Makers</t>
        </is>
      </c>
      <c r="G17" s="21" t="inlineStr">
        <is>
          <t>Direct 10Gbps cross-connect latency benchmark</t>
        </is>
      </c>
      <c r="H17" s="45" t="inlineStr">
        <is>
          <t>2 Prime Direct / Co-Lo contracts signed</t>
        </is>
      </c>
    </row>
    <row r="18">
      <c r="B18" s="44" t="inlineStr">
        <is>
          <t>Month 12</t>
        </is>
      </c>
      <c r="C18" s="20" t="inlineStr">
        <is>
          <t>Q4</t>
        </is>
      </c>
      <c r="D18" s="13" t="inlineStr">
        <is>
          <t>Annual GTM Retrospective &amp; 2027 Scale Kickoff</t>
        </is>
      </c>
      <c r="E18" s="10" t="inlineStr">
        <is>
          <t>Strategy &amp; Ops</t>
        </is>
      </c>
      <c r="F18" s="10" t="inlineStr">
        <is>
          <t>Internal Executive Team &amp; Board</t>
        </is>
      </c>
      <c r="G18" s="21" t="inlineStr">
        <is>
          <t>Audited cohort CAC, LTV, and ARR attribution deck</t>
        </is>
      </c>
      <c r="H18" s="45" t="inlineStr">
        <is>
          <t>Full Year $1.94M ARR milestone locked</t>
        </is>
      </c>
    </row>
  </sheetData>
  <mergeCells count="1"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2026-10-08T19:19:21Z</dcterms:created>
  <dcterms:modified xsi:type="dcterms:W3CDTF">2026-10-08T19:19:21Z</dcterms:modified>
</cp:coreProperties>
</file>