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del Assumptions" sheetId="2" state="visible" r:id="rId2"/>
    <sheet name="5-Year Pro-Forma" sheetId="3" state="visible" r:id="rId3"/>
    <sheet name="Year 1 Monthly Cash Flow" sheetId="4" state="visible" r:id="rId4"/>
    <sheet name="Valuation &amp; Retu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#,##0.0"/>
    <numFmt numFmtId="167" formatCode="$#,##0.0"/>
    <numFmt numFmtId="168" formatCode="0.0&quot;x&quot;"/>
  </numFmts>
  <fonts count="11">
    <font>
      <name val="Calibri"/>
      <family val="2"/>
      <color theme="1"/>
      <sz val="11"/>
      <scheme val="minor"/>
    </font>
    <font>
      <name val="Calibri"/>
      <b val="1"/>
      <color rgb="000F172A"/>
      <sz val="15"/>
    </font>
    <font>
      <name val="Calibri"/>
      <b val="1"/>
      <color rgb="002563EB"/>
      <sz val="10"/>
    </font>
    <font>
      <name val="Calibri"/>
      <i val="1"/>
      <color rgb="0064748B"/>
      <sz val="10"/>
    </font>
    <font>
      <name val="Calibri"/>
      <b val="1"/>
      <color rgb="0064748B"/>
      <sz val="9"/>
    </font>
    <font>
      <name val="Calibri"/>
      <b val="1"/>
      <color rgb="000F172A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1E3A8A"/>
      <sz val="10"/>
    </font>
    <font>
      <name val="Calibri"/>
      <i val="1"/>
      <color rgb="0064748B"/>
      <sz val="9"/>
    </font>
  </fonts>
  <fills count="8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2563EB"/>
        <bgColor rgb="002563E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</border>
    <border>
      <left style="thin">
        <color rgb="00CBD5E1"/>
      </left>
      <right style="thin">
        <color rgb="00CBD5E1"/>
      </right>
      <bottom style="thin">
        <color rgb="00CBD5E1"/>
      </bottom>
    </border>
    <border>
      <top style="thin">
        <color rgb="00000000"/>
      </top>
      <bottom style="thin">
        <color rgb="0000000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164" fontId="5" fillId="2" borderId="2" applyAlignment="1" pivotButton="0" quotePrefix="0" xfId="0">
      <alignment horizontal="center"/>
    </xf>
    <xf numFmtId="165" fontId="5" fillId="2" borderId="2" applyAlignment="1" pivotButton="0" quotePrefix="0" xfId="0">
      <alignment horizontal="center"/>
    </xf>
    <xf numFmtId="0" fontId="6" fillId="3" borderId="0" pivotButton="0" quotePrefix="0" xfId="0"/>
    <xf numFmtId="0" fontId="6" fillId="4" borderId="0" applyAlignment="1" pivotButton="0" quotePrefix="0" xfId="0">
      <alignment horizontal="left"/>
    </xf>
    <xf numFmtId="0" fontId="6" fillId="4" borderId="0" applyAlignment="1" pivotButton="0" quotePrefix="0" xfId="0">
      <alignment horizontal="right"/>
    </xf>
    <xf numFmtId="0" fontId="7" fillId="0" borderId="0" pivotButton="0" quotePrefix="0" xfId="0"/>
    <xf numFmtId="3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0" fontId="8" fillId="0" borderId="0" pivotButton="0" quotePrefix="0" xfId="0"/>
    <xf numFmtId="164" fontId="8" fillId="0" borderId="0" applyAlignment="1" pivotButton="0" quotePrefix="0" xfId="0">
      <alignment horizontal="right"/>
    </xf>
    <xf numFmtId="164" fontId="8" fillId="5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65" fontId="8" fillId="5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3" fontId="9" fillId="6" borderId="0" applyAlignment="1" pivotButton="0" quotePrefix="0" xfId="0">
      <alignment horizontal="right"/>
    </xf>
    <xf numFmtId="0" fontId="7" fillId="0" borderId="0" applyAlignment="1" pivotButton="0" quotePrefix="0" xfId="0">
      <alignment horizontal="center"/>
    </xf>
    <xf numFmtId="0" fontId="10" fillId="0" borderId="0" pivotButton="0" quotePrefix="0" xfId="0"/>
    <xf numFmtId="165" fontId="9" fillId="6" borderId="0" applyAlignment="1" pivotButton="0" quotePrefix="0" xfId="0">
      <alignment horizontal="right"/>
    </xf>
    <xf numFmtId="164" fontId="9" fillId="6" borderId="0" applyAlignment="1" pivotButton="0" quotePrefix="0" xfId="0">
      <alignment horizontal="right"/>
    </xf>
    <xf numFmtId="166" fontId="9" fillId="6" borderId="0" applyAlignment="1" pivotButton="0" quotePrefix="0" xfId="0">
      <alignment horizontal="right"/>
    </xf>
    <xf numFmtId="3" fontId="8" fillId="5" borderId="3" applyAlignment="1" pivotButton="0" quotePrefix="0" xfId="0">
      <alignment horizontal="right"/>
    </xf>
    <xf numFmtId="167" fontId="7" fillId="0" borderId="0" applyAlignment="1" pivotButton="0" quotePrefix="0" xfId="0">
      <alignment horizontal="right"/>
    </xf>
    <xf numFmtId="164" fontId="8" fillId="5" borderId="3" applyAlignment="1" pivotButton="0" quotePrefix="0" xfId="0">
      <alignment horizontal="right"/>
    </xf>
    <xf numFmtId="164" fontId="8" fillId="5" borderId="4" applyAlignment="1" pivotButton="0" quotePrefix="0" xfId="0">
      <alignment horizontal="right"/>
    </xf>
    <xf numFmtId="165" fontId="8" fillId="5" borderId="3" applyAlignment="1" pivotButton="0" quotePrefix="0" xfId="0">
      <alignment horizontal="right"/>
    </xf>
    <xf numFmtId="164" fontId="8" fillId="7" borderId="4" applyAlignment="1" pivotButton="0" quotePrefix="0" xfId="0">
      <alignment horizontal="right"/>
    </xf>
    <xf numFmtId="0" fontId="6" fillId="4" borderId="0" pivotButton="0" quotePrefix="0" xfId="0"/>
    <xf numFmtId="166" fontId="7" fillId="0" borderId="0" applyAlignment="1" pivotButton="0" quotePrefix="0" xfId="0">
      <alignment horizontal="right"/>
    </xf>
    <xf numFmtId="166" fontId="8" fillId="7" borderId="3" applyAlignment="1" pivotButton="0" quotePrefix="0" xfId="0">
      <alignment horizontal="right"/>
    </xf>
    <xf numFmtId="168" fontId="8" fillId="7" borderId="3" applyAlignment="1" pivotButton="0" quotePrefix="0" xfId="0">
      <alignment horizontal="right"/>
    </xf>
    <xf numFmtId="164" fontId="8" fillId="7" borderId="3" applyAlignment="1" pivotButton="0" quotePrefix="0" xfId="0">
      <alignment horizontal="right"/>
    </xf>
    <xf numFmtId="0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6" customWidth="1" min="3" max="3"/>
    <col width="21" customWidth="1" min="4" max="4"/>
    <col width="17" customWidth="1" min="5" max="5"/>
    <col width="25" customWidth="1" min="6" max="6"/>
    <col width="25" customWidth="1" min="7" max="7"/>
    <col width="19" customWidth="1" min="8" max="8"/>
    <col width="13" customWidth="1" min="9" max="9"/>
    <col width="18" customWidth="1" min="10" max="10"/>
  </cols>
  <sheetData>
    <row r="1"/>
    <row r="2">
      <c r="B2" s="1" t="inlineStr">
        <is>
          <t>PRISM TECHNOLOGIES INC.</t>
        </is>
      </c>
    </row>
    <row r="3">
      <c r="B3" s="2" t="inlineStr">
        <is>
          <t>Institutional Cross-Venue Prediction Market Smart Order Router (SOR)</t>
        </is>
      </c>
    </row>
    <row r="4">
      <c r="B4" s="3" t="inlineStr">
        <is>
          <t>5-Year Pro-Forma Financial Model &amp; CFO Business Plan (Series Seed / Series A)</t>
        </is>
      </c>
    </row>
    <row r="5"/>
    <row r="6">
      <c r="B6" s="4" t="inlineStr">
        <is>
          <t>Y1 ARR</t>
        </is>
      </c>
      <c r="D6" s="4" t="inlineStr">
        <is>
          <t>Y3 ARR</t>
        </is>
      </c>
      <c r="F6" s="4" t="inlineStr">
        <is>
          <t>Y5 ARR</t>
        </is>
      </c>
      <c r="H6" s="4" t="inlineStr">
        <is>
          <t>Y3 EBITDA MARGIN</t>
        </is>
      </c>
      <c r="J6" s="4" t="inlineStr">
        <is>
          <t>Y3 GROSS MARGIN</t>
        </is>
      </c>
    </row>
    <row r="7">
      <c r="B7" s="5">
        <f>'5-Year Pro-Forma'!C26</f>
        <v/>
      </c>
      <c r="D7" s="5">
        <f>'5-Year Pro-Forma'!E26</f>
        <v/>
      </c>
      <c r="F7" s="5">
        <f>'5-Year Pro-Forma'!G26</f>
        <v/>
      </c>
      <c r="H7" s="6">
        <f>'5-Year Pro-Forma'!E46</f>
        <v/>
      </c>
      <c r="J7" s="6">
        <f>'5-Year Pro-Forma'!E35</f>
        <v/>
      </c>
    </row>
    <row r="8"/>
    <row r="9"/>
    <row r="10">
      <c r="B10" s="7" t="inlineStr">
        <is>
          <t>EXECUTIVE FINANCIAL DASHBOARD (5-YEAR PRO-FORMA)</t>
        </is>
      </c>
    </row>
    <row r="11">
      <c r="B11" s="8" t="inlineStr">
        <is>
          <t>Financial Metric</t>
        </is>
      </c>
      <c r="C11" s="9" t="inlineStr">
        <is>
          <t>Year 1 (Seed)</t>
        </is>
      </c>
      <c r="D11" s="9" t="inlineStr">
        <is>
          <t>Year 2 (Expansion)</t>
        </is>
      </c>
      <c r="E11" s="9" t="inlineStr">
        <is>
          <t>Year 3 (Scale)</t>
        </is>
      </c>
      <c r="F11" s="9" t="inlineStr">
        <is>
          <t>Year 4 (Institutional)</t>
        </is>
      </c>
      <c r="G11" s="9" t="inlineStr">
        <is>
          <t>Year 5 (Category King)</t>
        </is>
      </c>
    </row>
    <row r="12">
      <c r="B12" s="10" t="inlineStr">
        <is>
          <t>Active Trading Desks</t>
        </is>
      </c>
      <c r="C12" s="11">
        <f>'5-Year Pro-Forma'!C12</f>
        <v/>
      </c>
      <c r="D12" s="11">
        <f>'5-Year Pro-Forma'!D12</f>
        <v/>
      </c>
      <c r="E12" s="11">
        <f>'5-Year Pro-Forma'!E12</f>
        <v/>
      </c>
      <c r="F12" s="11">
        <f>'5-Year Pro-Forma'!F12</f>
        <v/>
      </c>
      <c r="G12" s="11">
        <f>'5-Year Pro-Forma'!G12</f>
        <v/>
      </c>
    </row>
    <row r="13">
      <c r="B13" s="10" t="inlineStr">
        <is>
          <t>Monthly Routed Notional ($M)</t>
        </is>
      </c>
      <c r="C13" s="12">
        <f>'5-Year Pro-Forma'!C13</f>
        <v/>
      </c>
      <c r="D13" s="12">
        <f>'5-Year Pro-Forma'!D13</f>
        <v/>
      </c>
      <c r="E13" s="12">
        <f>'5-Year Pro-Forma'!E13</f>
        <v/>
      </c>
      <c r="F13" s="12">
        <f>'5-Year Pro-Forma'!F13</f>
        <v/>
      </c>
      <c r="G13" s="12">
        <f>'5-Year Pro-Forma'!G13</f>
        <v/>
      </c>
    </row>
    <row r="14">
      <c r="B14" s="10" t="inlineStr">
        <is>
          <t>Annual Routed Notional ($M)</t>
        </is>
      </c>
      <c r="C14" s="12">
        <f>'5-Year Pro-Forma'!C14</f>
        <v/>
      </c>
      <c r="D14" s="12">
        <f>'5-Year Pro-Forma'!D14</f>
        <v/>
      </c>
      <c r="E14" s="12">
        <f>'5-Year Pro-Forma'!E14</f>
        <v/>
      </c>
      <c r="F14" s="12">
        <f>'5-Year Pro-Forma'!F14</f>
        <v/>
      </c>
      <c r="G14" s="12">
        <f>'5-Year Pro-Forma'!G14</f>
        <v/>
      </c>
    </row>
    <row r="15"/>
    <row r="16">
      <c r="B16" s="10" t="inlineStr">
        <is>
          <t>SaaS Subscription Revenue</t>
        </is>
      </c>
      <c r="C16" s="12">
        <f>'5-Year Pro-Forma'!C21</f>
        <v/>
      </c>
      <c r="D16" s="12">
        <f>'5-Year Pro-Forma'!D21</f>
        <v/>
      </c>
      <c r="E16" s="12">
        <f>'5-Year Pro-Forma'!E21</f>
        <v/>
      </c>
      <c r="F16" s="12">
        <f>'5-Year Pro-Forma'!F21</f>
        <v/>
      </c>
      <c r="G16" s="12">
        <f>'5-Year Pro-Forma'!G21</f>
        <v/>
      </c>
    </row>
    <row r="17">
      <c r="B17" s="10" t="inlineStr">
        <is>
          <t>Volume Routing Take-Rate</t>
        </is>
      </c>
      <c r="C17" s="12">
        <f>'5-Year Pro-Forma'!C22</f>
        <v/>
      </c>
      <c r="D17" s="12">
        <f>'5-Year Pro-Forma'!D22</f>
        <v/>
      </c>
      <c r="E17" s="12">
        <f>'5-Year Pro-Forma'!E22</f>
        <v/>
      </c>
      <c r="F17" s="12">
        <f>'5-Year Pro-Forma'!F22</f>
        <v/>
      </c>
      <c r="G17" s="12">
        <f>'5-Year Pro-Forma'!G22</f>
        <v/>
      </c>
    </row>
    <row r="18">
      <c r="B18" s="10" t="inlineStr">
        <is>
          <t>Premium Data &amp; SLA Feeds</t>
        </is>
      </c>
      <c r="C18" s="12">
        <f>'5-Year Pro-Forma'!C23</f>
        <v/>
      </c>
      <c r="D18" s="12">
        <f>'5-Year Pro-Forma'!D23</f>
        <v/>
      </c>
      <c r="E18" s="12">
        <f>'5-Year Pro-Forma'!E23</f>
        <v/>
      </c>
      <c r="F18" s="12">
        <f>'5-Year Pro-Forma'!F23</f>
        <v/>
      </c>
      <c r="G18" s="12">
        <f>'5-Year Pro-Forma'!G23</f>
        <v/>
      </c>
    </row>
    <row r="19">
      <c r="B19" s="10" t="inlineStr">
        <is>
          <t>Gross Revenue</t>
        </is>
      </c>
      <c r="C19" s="12">
        <f>'5-Year Pro-Forma'!C24</f>
        <v/>
      </c>
      <c r="D19" s="12">
        <f>'5-Year Pro-Forma'!D24</f>
        <v/>
      </c>
      <c r="E19" s="12">
        <f>'5-Year Pro-Forma'!E24</f>
        <v/>
      </c>
      <c r="F19" s="12">
        <f>'5-Year Pro-Forma'!F24</f>
        <v/>
      </c>
      <c r="G19" s="12">
        <f>'5-Year Pro-Forma'!G24</f>
        <v/>
      </c>
    </row>
    <row r="20">
      <c r="B20" s="10" t="inlineStr">
        <is>
          <t>Less: Upfront Prepay Discounts (15%)</t>
        </is>
      </c>
      <c r="C20" s="12">
        <f>'5-Year Pro-Forma'!C25</f>
        <v/>
      </c>
      <c r="D20" s="12">
        <f>'5-Year Pro-Forma'!D25</f>
        <v/>
      </c>
      <c r="E20" s="12">
        <f>'5-Year Pro-Forma'!E25</f>
        <v/>
      </c>
      <c r="F20" s="12">
        <f>'5-Year Pro-Forma'!F25</f>
        <v/>
      </c>
      <c r="G20" s="12">
        <f>'5-Year Pro-Forma'!G25</f>
        <v/>
      </c>
    </row>
    <row r="21">
      <c r="B21" s="13" t="inlineStr">
        <is>
          <t>Net Recognized Revenue</t>
        </is>
      </c>
      <c r="C21" s="14">
        <f>'5-Year Pro-Forma'!C26</f>
        <v/>
      </c>
      <c r="D21" s="14">
        <f>'5-Year Pro-Forma'!D26</f>
        <v/>
      </c>
      <c r="E21" s="14">
        <f>'5-Year Pro-Forma'!E26</f>
        <v/>
      </c>
      <c r="F21" s="14">
        <f>'5-Year Pro-Forma'!F26</f>
        <v/>
      </c>
      <c r="G21" s="14">
        <f>'5-Year Pro-Forma'!G26</f>
        <v/>
      </c>
    </row>
    <row r="22"/>
    <row r="23">
      <c r="B23" s="10" t="inlineStr">
        <is>
          <t>Cost of Goods Sold (COGS)</t>
        </is>
      </c>
      <c r="C23" s="12">
        <f>'5-Year Pro-Forma'!C33</f>
        <v/>
      </c>
      <c r="D23" s="12">
        <f>'5-Year Pro-Forma'!D33</f>
        <v/>
      </c>
      <c r="E23" s="12">
        <f>'5-Year Pro-Forma'!E33</f>
        <v/>
      </c>
      <c r="F23" s="12">
        <f>'5-Year Pro-Forma'!F33</f>
        <v/>
      </c>
      <c r="G23" s="12">
        <f>'5-Year Pro-Forma'!G33</f>
        <v/>
      </c>
    </row>
    <row r="24">
      <c r="B24" s="13" t="inlineStr">
        <is>
          <t>Gross Profit</t>
        </is>
      </c>
      <c r="C24" s="15">
        <f>'5-Year Pro-Forma'!C34</f>
        <v/>
      </c>
      <c r="D24" s="15">
        <f>'5-Year Pro-Forma'!D34</f>
        <v/>
      </c>
      <c r="E24" s="15">
        <f>'5-Year Pro-Forma'!E34</f>
        <v/>
      </c>
      <c r="F24" s="15">
        <f>'5-Year Pro-Forma'!F34</f>
        <v/>
      </c>
      <c r="G24" s="15">
        <f>'5-Year Pro-Forma'!G34</f>
        <v/>
      </c>
    </row>
    <row r="25">
      <c r="B25" s="10" t="inlineStr">
        <is>
          <t>Gross Margin %</t>
        </is>
      </c>
      <c r="C25" s="16">
        <f>'5-Year Pro-Forma'!C35</f>
        <v/>
      </c>
      <c r="D25" s="16">
        <f>'5-Year Pro-Forma'!D35</f>
        <v/>
      </c>
      <c r="E25" s="16">
        <f>'5-Year Pro-Forma'!E35</f>
        <v/>
      </c>
      <c r="F25" s="16">
        <f>'5-Year Pro-Forma'!F35</f>
        <v/>
      </c>
      <c r="G25" s="16">
        <f>'5-Year Pro-Forma'!G35</f>
        <v/>
      </c>
    </row>
    <row r="26"/>
    <row r="27">
      <c r="B27" s="10" t="inlineStr">
        <is>
          <t>Research &amp; Development (R&amp;D)</t>
        </is>
      </c>
      <c r="C27" s="12">
        <f>'5-Year Pro-Forma'!C38</f>
        <v/>
      </c>
      <c r="D27" s="12">
        <f>'5-Year Pro-Forma'!D38</f>
        <v/>
      </c>
      <c r="E27" s="12">
        <f>'5-Year Pro-Forma'!E38</f>
        <v/>
      </c>
      <c r="F27" s="12">
        <f>'5-Year Pro-Forma'!F38</f>
        <v/>
      </c>
      <c r="G27" s="12">
        <f>'5-Year Pro-Forma'!G38</f>
        <v/>
      </c>
    </row>
    <row r="28">
      <c r="B28" s="10" t="inlineStr">
        <is>
          <t>Sales &amp; Trading BD (S&amp;M)</t>
        </is>
      </c>
      <c r="C28" s="12">
        <f>'5-Year Pro-Forma'!C39</f>
        <v/>
      </c>
      <c r="D28" s="12">
        <f>'5-Year Pro-Forma'!D39</f>
        <v/>
      </c>
      <c r="E28" s="12">
        <f>'5-Year Pro-Forma'!E39</f>
        <v/>
      </c>
      <c r="F28" s="12">
        <f>'5-Year Pro-Forma'!F39</f>
        <v/>
      </c>
      <c r="G28" s="12">
        <f>'5-Year Pro-Forma'!G39</f>
        <v/>
      </c>
    </row>
    <row r="29">
      <c r="B29" s="10" t="inlineStr">
        <is>
          <t>General &amp; Administrative (G&amp;A)</t>
        </is>
      </c>
      <c r="C29" s="12">
        <f>'5-Year Pro-Forma'!C40</f>
        <v/>
      </c>
      <c r="D29" s="12">
        <f>'5-Year Pro-Forma'!D40</f>
        <v/>
      </c>
      <c r="E29" s="12">
        <f>'5-Year Pro-Forma'!E40</f>
        <v/>
      </c>
      <c r="F29" s="12">
        <f>'5-Year Pro-Forma'!F40</f>
        <v/>
      </c>
      <c r="G29" s="12">
        <f>'5-Year Pro-Forma'!G40</f>
        <v/>
      </c>
    </row>
    <row r="30">
      <c r="B30" s="10" t="inlineStr">
        <is>
          <t>Total Operating Expenses</t>
        </is>
      </c>
      <c r="C30" s="12">
        <f>'5-Year Pro-Forma'!C42</f>
        <v/>
      </c>
      <c r="D30" s="12">
        <f>'5-Year Pro-Forma'!D42</f>
        <v/>
      </c>
      <c r="E30" s="12">
        <f>'5-Year Pro-Forma'!E42</f>
        <v/>
      </c>
      <c r="F30" s="12">
        <f>'5-Year Pro-Forma'!F42</f>
        <v/>
      </c>
      <c r="G30" s="12">
        <f>'5-Year Pro-Forma'!G42</f>
        <v/>
      </c>
    </row>
    <row r="31"/>
    <row r="32">
      <c r="B32" s="13" t="inlineStr">
        <is>
          <t>EBITDA (Operating Profit)</t>
        </is>
      </c>
      <c r="C32" s="15">
        <f>'5-Year Pro-Forma'!C45</f>
        <v/>
      </c>
      <c r="D32" s="15">
        <f>'5-Year Pro-Forma'!D45</f>
        <v/>
      </c>
      <c r="E32" s="15">
        <f>'5-Year Pro-Forma'!E45</f>
        <v/>
      </c>
      <c r="F32" s="15">
        <f>'5-Year Pro-Forma'!F45</f>
        <v/>
      </c>
      <c r="G32" s="15">
        <f>'5-Year Pro-Forma'!G45</f>
        <v/>
      </c>
    </row>
    <row r="33">
      <c r="B33" s="13" t="inlineStr">
        <is>
          <t>EBITDA Margin %</t>
        </is>
      </c>
      <c r="C33" s="17">
        <f>'5-Year Pro-Forma'!C46</f>
        <v/>
      </c>
      <c r="D33" s="17">
        <f>'5-Year Pro-Forma'!D46</f>
        <v/>
      </c>
      <c r="E33" s="17">
        <f>'5-Year Pro-Forma'!E46</f>
        <v/>
      </c>
      <c r="F33" s="17">
        <f>'5-Year Pro-Forma'!F46</f>
        <v/>
      </c>
      <c r="G33" s="17">
        <f>'5-Year Pro-Forma'!G46</f>
        <v/>
      </c>
    </row>
    <row r="34">
      <c r="B34" s="10" t="inlineStr">
        <is>
          <t>Operating Income (EBIT)</t>
        </is>
      </c>
      <c r="C34" s="12">
        <f>'5-Year Pro-Forma'!C48</f>
        <v/>
      </c>
      <c r="D34" s="12">
        <f>'5-Year Pro-Forma'!D48</f>
        <v/>
      </c>
      <c r="E34" s="12">
        <f>'5-Year Pro-Forma'!E48</f>
        <v/>
      </c>
      <c r="F34" s="12">
        <f>'5-Year Pro-Forma'!F48</f>
        <v/>
      </c>
      <c r="G34" s="12">
        <f>'5-Year Pro-Forma'!G48</f>
        <v/>
      </c>
    </row>
    <row r="35">
      <c r="B35" s="13" t="inlineStr">
        <is>
          <t>Net Income (After Tax)</t>
        </is>
      </c>
      <c r="C35" s="14">
        <f>'5-Year Pro-Forma'!C52</f>
        <v/>
      </c>
      <c r="D35" s="14">
        <f>'5-Year Pro-Forma'!D52</f>
        <v/>
      </c>
      <c r="E35" s="14">
        <f>'5-Year Pro-Forma'!E52</f>
        <v/>
      </c>
      <c r="F35" s="14">
        <f>'5-Year Pro-Forma'!F52</f>
        <v/>
      </c>
      <c r="G35" s="14">
        <f>'5-Year Pro-Forma'!G52</f>
        <v/>
      </c>
    </row>
    <row r="36">
      <c r="B36" s="13" t="inlineStr">
        <is>
          <t>Net Income Margin %</t>
        </is>
      </c>
      <c r="C36" s="18">
        <f>'5-Year Pro-Forma'!C53</f>
        <v/>
      </c>
      <c r="D36" s="18">
        <f>'5-Year Pro-Forma'!D53</f>
        <v/>
      </c>
      <c r="E36" s="18">
        <f>'5-Year Pro-Forma'!E53</f>
        <v/>
      </c>
      <c r="F36" s="18">
        <f>'5-Year Pro-Forma'!F53</f>
        <v/>
      </c>
      <c r="G36" s="18">
        <f>'5-Year Pro-Forma'!G53</f>
        <v/>
      </c>
    </row>
    <row r="37"/>
    <row r="38">
      <c r="B38" s="13" t="inlineStr">
        <is>
          <t>Implied Valuation (25x ARR Multiple)</t>
        </is>
      </c>
      <c r="C38" s="15">
        <f>'Valuation &amp; Returns'!C21</f>
        <v/>
      </c>
      <c r="D38" s="15">
        <f>'Valuation &amp; Returns'!D21</f>
        <v/>
      </c>
      <c r="E38" s="15">
        <f>'Valuation &amp; Returns'!E21</f>
        <v/>
      </c>
      <c r="F38" s="15">
        <f>'Valuation &amp; Returns'!F21</f>
        <v/>
      </c>
      <c r="G38" s="15">
        <f>'Valuation &amp; Returns'!G21</f>
        <v/>
      </c>
    </row>
  </sheetData>
  <mergeCells count="1">
    <mergeCell ref="B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5" customWidth="1" min="3" max="3"/>
    <col width="13" customWidth="1" min="4" max="4"/>
    <col width="84" customWidth="1" min="5" max="5"/>
  </cols>
  <sheetData>
    <row r="1"/>
    <row r="2">
      <c r="B2" s="1" t="inlineStr">
        <is>
          <t>PRISM FINANCIAL ARCHITECTURE — MASTER ASSUMPTIONS</t>
        </is>
      </c>
    </row>
    <row r="3">
      <c r="B3" s="3" t="inlineStr">
        <is>
          <t>Dynamic Drivers Governing Unit Economics, Revenue Take-Rates, Capacity, and Headcount</t>
        </is>
      </c>
    </row>
    <row r="4"/>
    <row r="5">
      <c r="B5" s="7" t="inlineStr">
        <is>
          <t>1. MARKET SIZE &amp; MACRO PREDICTION ADOPTION (TAM / SAM / SOM)</t>
        </is>
      </c>
    </row>
    <row r="6">
      <c r="B6" s="8" t="inlineStr">
        <is>
          <t>Driver / Assumption</t>
        </is>
      </c>
      <c r="C6" s="9" t="inlineStr">
        <is>
          <t>Value</t>
        </is>
      </c>
      <c r="D6" s="9" t="inlineStr">
        <is>
          <t>Unit</t>
        </is>
      </c>
      <c r="E6" s="9" t="inlineStr">
        <is>
          <t>Strategic Rationale / Grounding</t>
        </is>
      </c>
    </row>
    <row r="7">
      <c r="B7" s="10" t="inlineStr">
        <is>
          <t>Total Global Event Derivatives Market Notional (Y1)</t>
        </is>
      </c>
      <c r="C7" s="19" t="n">
        <v>12000</v>
      </c>
      <c r="D7" s="20" t="inlineStr">
        <is>
          <t>$M</t>
        </is>
      </c>
      <c r="E7" s="21" t="inlineStr">
        <is>
          <t>Estimated 2026 combined Polymarket + Kalshi + ForecastEx volume</t>
        </is>
      </c>
    </row>
    <row r="8">
      <c r="B8" s="10" t="inlineStr">
        <is>
          <t>Total Global Event Derivatives Market Notional (Y3)</t>
        </is>
      </c>
      <c r="C8" s="19" t="n">
        <v>85000</v>
      </c>
      <c r="D8" s="20" t="inlineStr">
        <is>
          <t>$M</t>
        </is>
      </c>
      <c r="E8" s="21" t="inlineStr">
        <is>
          <t>Expansion into macro indices, rates, and corporate earnings</t>
        </is>
      </c>
    </row>
    <row r="9">
      <c r="B9" s="10" t="inlineStr">
        <is>
          <t>Total Global Event Derivatives Market Notional (Y5)</t>
        </is>
      </c>
      <c r="C9" s="19" t="n">
        <v>320000</v>
      </c>
      <c r="D9" s="20" t="inlineStr">
        <is>
          <t>$M</t>
        </is>
      </c>
      <c r="E9" s="21" t="inlineStr">
        <is>
          <t>Institutional scale capturing 0.2% of global macro hedging</t>
        </is>
      </c>
    </row>
    <row r="10">
      <c r="B10" s="10" t="inlineStr">
        <is>
          <t>PRISM Share of Institutional Routed Flow (Y1)</t>
        </is>
      </c>
      <c r="C10" s="22" t="n">
        <v>0.008</v>
      </c>
      <c r="D10" s="20" t="inlineStr">
        <is>
          <t>%</t>
        </is>
      </c>
      <c r="E10" s="21" t="inlineStr">
        <is>
          <t>Capturing 0.8% of market volume in Seed year ($96M/yr)</t>
        </is>
      </c>
    </row>
    <row r="11">
      <c r="B11" s="10" t="inlineStr">
        <is>
          <t>PRISM Share of Institutional Routed Flow (Y3)</t>
        </is>
      </c>
      <c r="C11" s="22" t="n">
        <v>0.052</v>
      </c>
      <c r="D11" s="20" t="inlineStr">
        <is>
          <t>%</t>
        </is>
      </c>
      <c r="E11" s="21" t="inlineStr">
        <is>
          <t>Capturing 5.2% of total market volume ($4.42B/yr)</t>
        </is>
      </c>
    </row>
    <row r="12">
      <c r="B12" s="10" t="inlineStr">
        <is>
          <t>PRISM Share of Institutional Routed Flow (Y5)</t>
        </is>
      </c>
      <c r="C12" s="22" t="n">
        <v>0.12</v>
      </c>
      <c r="D12" s="20" t="inlineStr">
        <is>
          <t>%</t>
        </is>
      </c>
      <c r="E12" s="21" t="inlineStr">
        <is>
          <t>Capturing 12.0% as category king execution standard ($38.4B/yr)</t>
        </is>
      </c>
    </row>
    <row r="13"/>
    <row r="14">
      <c r="B14" s="7" t="inlineStr">
        <is>
          <t>2. SUBSCRIPTION PRICING TIERS &amp; ANNUAL CONTRACT VALUE (ACV)</t>
        </is>
      </c>
    </row>
    <row r="15">
      <c r="B15" s="8" t="inlineStr">
        <is>
          <t>Pricing Tier</t>
        </is>
      </c>
      <c r="C15" s="9" t="inlineStr">
        <is>
          <t>Monthly Fee</t>
        </is>
      </c>
      <c r="D15" s="9" t="inlineStr">
        <is>
          <t>Annual ACV</t>
        </is>
      </c>
      <c r="E15" s="9" t="inlineStr">
        <is>
          <t>Target Profile &amp; Inclusions</t>
        </is>
      </c>
    </row>
    <row r="16">
      <c r="B16" s="10" t="inlineStr">
        <is>
          <t>Tier 1: Core Quant API</t>
        </is>
      </c>
      <c r="C16" s="23" t="n">
        <v>2500</v>
      </c>
      <c r="D16" s="20" t="inlineStr">
        <is>
          <t>$</t>
        </is>
      </c>
      <c r="E16" s="21" t="inlineStr">
        <is>
          <t>Systematic algo bots, 100 req/sec, standard REST/WebSocket</t>
        </is>
      </c>
    </row>
    <row r="17">
      <c r="B17" s="10" t="inlineStr">
        <is>
          <t>Tier 2: Institutional Desk (Core Flagship)</t>
        </is>
      </c>
      <c r="C17" s="23" t="n">
        <v>12000</v>
      </c>
      <c r="D17" s="20" t="inlineStr">
        <is>
          <t>$</t>
        </is>
      </c>
      <c r="E17" s="21" t="inlineStr">
        <is>
          <t>Multi-seat terminal, Parity Radar, Oracle Conflict Guard, 99.95% SLA</t>
        </is>
      </c>
    </row>
    <row r="18">
      <c r="B18" s="10" t="inlineStr">
        <is>
          <t>Tier 3: Prime Direct (Enterprise)</t>
        </is>
      </c>
      <c r="C18" s="23" t="n">
        <v>35000</v>
      </c>
      <c r="D18" s="20" t="inlineStr">
        <is>
          <t>$</t>
        </is>
      </c>
      <c r="E18" s="21" t="inlineStr">
        <is>
          <t>Dedicated VPC instance, custom Iceberg/TWAP algos, FIX drop-copy</t>
        </is>
      </c>
    </row>
    <row r="19">
      <c r="B19" s="10" t="inlineStr">
        <is>
          <t>Tier 4: Sovereign Co-Location (Secaucus NY4)</t>
        </is>
      </c>
      <c r="C19" s="23" t="n">
        <v>65000</v>
      </c>
      <c r="D19" s="20" t="inlineStr">
        <is>
          <t>$</t>
        </is>
      </c>
      <c r="E19" s="21" t="inlineStr">
        <is>
          <t>Direct Equinix NY4 10Gbps cross-connect, sub-0.5ms FPGA path</t>
        </is>
      </c>
    </row>
    <row r="20">
      <c r="B20" s="10" t="inlineStr">
        <is>
          <t>Annual Upfront Prepay Discount</t>
        </is>
      </c>
      <c r="C20" s="22" t="n">
        <v>0.15</v>
      </c>
      <c r="D20" s="20" t="inlineStr">
        <is>
          <t>%</t>
        </is>
      </c>
      <c r="E20" s="21" t="inlineStr">
        <is>
          <t>15% discount for 12-month upfront cash payment (creates negative working capital)</t>
        </is>
      </c>
    </row>
    <row r="21">
      <c r="B21" s="10" t="inlineStr">
        <is>
          <t>Expected % of Clients Choosing Annual Prepay</t>
        </is>
      </c>
      <c r="C21" s="22" t="n">
        <v>0.45</v>
      </c>
      <c r="D21" s="20" t="inlineStr">
        <is>
          <t>%</t>
        </is>
      </c>
      <c r="E21" s="21" t="inlineStr">
        <is>
          <t>Funds taking advantage of annual budget allocation discounts</t>
        </is>
      </c>
    </row>
    <row r="22"/>
    <row r="23">
      <c r="B23" s="7" t="inlineStr">
        <is>
          <t>3. VARIABLE ROUTING TAKE-RATE (SOR BASIS POINTS)</t>
        </is>
      </c>
    </row>
    <row r="24">
      <c r="B24" s="8" t="inlineStr">
        <is>
          <t>Parameter</t>
        </is>
      </c>
      <c r="C24" s="9" t="inlineStr">
        <is>
          <t>Value</t>
        </is>
      </c>
      <c r="D24" s="9" t="inlineStr">
        <is>
          <t>Unit</t>
        </is>
      </c>
      <c r="E24" s="9" t="inlineStr">
        <is>
          <t>Economic Mechanism</t>
        </is>
      </c>
    </row>
    <row r="25">
      <c r="B25" s="10" t="inlineStr">
        <is>
          <t>Standard Volume Routing Take-Rate</t>
        </is>
      </c>
      <c r="C25" s="22" t="n">
        <v>0.00015</v>
      </c>
      <c r="D25" s="20" t="inlineStr">
        <is>
          <t>%</t>
        </is>
      </c>
      <c r="E25" s="21" t="inlineStr">
        <is>
          <t>1.5 bps (0.015%) charged on net notional executed through SOR</t>
        </is>
      </c>
    </row>
    <row r="26">
      <c r="B26" s="10" t="inlineStr">
        <is>
          <t>Average Slippage Saved per Client Order</t>
        </is>
      </c>
      <c r="C26" s="22" t="n">
        <v>0.0296</v>
      </c>
      <c r="D26" s="20" t="inlineStr">
        <is>
          <t>%</t>
        </is>
      </c>
      <c r="E26" s="21" t="inlineStr">
        <is>
          <t>296 bps saved vs single-venue execution (clients retain 95% of alpha)</t>
        </is>
      </c>
    </row>
    <row r="27">
      <c r="B27" s="10" t="inlineStr">
        <is>
          <t>Client Value-to-Fee Ratio</t>
        </is>
      </c>
      <c r="C27" s="24" t="n">
        <v>19.7</v>
      </c>
      <c r="D27" s="20" t="inlineStr">
        <is>
          <t>x</t>
        </is>
      </c>
      <c r="E27" s="21" t="inlineStr">
        <is>
          <t>Clients save $19.70 for every $1.00 paid to PRISM in routing fees</t>
        </is>
      </c>
    </row>
    <row r="28"/>
    <row r="29">
      <c r="B29" s="7" t="inlineStr">
        <is>
          <t>4. CUSTOMER FUNNEL, RETENTION &amp; SALES EFFICIENCY</t>
        </is>
      </c>
    </row>
    <row r="30">
      <c r="B30" s="8" t="inlineStr">
        <is>
          <t>Funnel Metric</t>
        </is>
      </c>
      <c r="C30" s="9" t="inlineStr">
        <is>
          <t>Value</t>
        </is>
      </c>
      <c r="D30" s="9" t="inlineStr">
        <is>
          <t>Unit</t>
        </is>
      </c>
      <c r="E30" s="9" t="inlineStr">
        <is>
          <t>Industry Benchmark Comparison</t>
        </is>
      </c>
    </row>
    <row r="31">
      <c r="B31" s="10" t="inlineStr">
        <is>
          <t>Tier 2 CAC (Institutional Desk)</t>
        </is>
      </c>
      <c r="C31" s="23" t="n">
        <v>22000</v>
      </c>
      <c r="D31" s="20" t="inlineStr">
        <is>
          <t>$</t>
        </is>
      </c>
      <c r="E31" s="21" t="inlineStr">
        <is>
          <t>Technical sales engineer salary, compliance review, POC demo period</t>
        </is>
      </c>
    </row>
    <row r="32">
      <c r="B32" s="10" t="inlineStr">
        <is>
          <t>Tier 3 CAC (Prime Direct)</t>
        </is>
      </c>
      <c r="C32" s="23" t="n">
        <v>65000</v>
      </c>
      <c r="D32" s="20" t="inlineStr">
        <is>
          <t>$</t>
        </is>
      </c>
      <c r="E32" s="21" t="inlineStr">
        <is>
          <t>Enterprise procurement, on-premise security review, legal review</t>
        </is>
      </c>
    </row>
    <row r="33">
      <c r="B33" s="10" t="inlineStr">
        <is>
          <t>Sales Cycle Duration (Tier 2)</t>
        </is>
      </c>
      <c r="C33" s="19" t="n">
        <v>45</v>
      </c>
      <c r="D33" s="20" t="inlineStr">
        <is>
          <t>Days</t>
        </is>
      </c>
      <c r="E33" s="21" t="inlineStr">
        <is>
          <t>Rapid trial-to-production deployment timeline</t>
        </is>
      </c>
    </row>
    <row r="34">
      <c r="B34" s="10" t="inlineStr">
        <is>
          <t>Annual Gross Logo Churn Rate</t>
        </is>
      </c>
      <c r="C34" s="22" t="n">
        <v>0.05</v>
      </c>
      <c r="D34" s="20" t="inlineStr">
        <is>
          <t>%</t>
        </is>
      </c>
      <c r="E34" s="21" t="inlineStr">
        <is>
          <t>5% annual churn (OEMS workflow integration creates high stickiness)</t>
        </is>
      </c>
    </row>
    <row r="35">
      <c r="B35" s="10" t="inlineStr">
        <is>
          <t>Net Revenue Retention (NRR)</t>
        </is>
      </c>
      <c r="C35" s="22" t="n">
        <v>1.28</v>
      </c>
      <c r="D35" s="20" t="inlineStr">
        <is>
          <t>%</t>
        </is>
      </c>
      <c r="E35" s="21" t="inlineStr">
        <is>
          <t>128% NRR driven by funds adding seats and increasing routed volume</t>
        </is>
      </c>
    </row>
    <row r="36"/>
    <row r="37">
      <c r="B37" s="7" t="inlineStr">
        <is>
          <t>5. INFRASTRUCTURE &amp; COGS DRIVERS (FIXED &amp; VARIABLE)</t>
        </is>
      </c>
    </row>
    <row r="38">
      <c r="B38" s="8" t="inlineStr">
        <is>
          <t>Cost Component</t>
        </is>
      </c>
      <c r="C38" s="9" t="inlineStr">
        <is>
          <t>Monthly Cost</t>
        </is>
      </c>
      <c r="D38" s="9" t="inlineStr">
        <is>
          <t>Unit</t>
        </is>
      </c>
      <c r="E38" s="9" t="inlineStr">
        <is>
          <t>Vendor / Allocation Details</t>
        </is>
      </c>
    </row>
    <row r="39">
      <c r="B39" s="10" t="inlineStr">
        <is>
          <t>Equinix NY4 Secaucus Cabinet Base Lease</t>
        </is>
      </c>
      <c r="C39" s="23" t="n">
        <v>6500</v>
      </c>
      <c r="D39" s="20" t="inlineStr">
        <is>
          <t>$</t>
        </is>
      </c>
      <c r="E39" s="21" t="inlineStr">
        <is>
          <t>1U-4U rack space, redundant PDU, Secaucus datacenter</t>
        </is>
      </c>
    </row>
    <row r="40">
      <c r="B40" s="10" t="inlineStr">
        <is>
          <t>NY4 Cross-Connect per 10 Active Clients</t>
        </is>
      </c>
      <c r="C40" s="23" t="n">
        <v>1200</v>
      </c>
      <c r="D40" s="20" t="inlineStr">
        <is>
          <t>$</t>
        </is>
      </c>
      <c r="E40" s="21" t="inlineStr">
        <is>
          <t>Direct low-latency fiber cross-connects to exchange matching engines</t>
        </is>
      </c>
    </row>
    <row r="41">
      <c r="B41" s="10" t="inlineStr">
        <is>
          <t>Enterprise L2 RPC Nodes (Polygon/Arbitrum)</t>
        </is>
      </c>
      <c r="C41" s="23" t="n">
        <v>2200</v>
      </c>
      <c r="D41" s="20" t="inlineStr">
        <is>
          <t>$</t>
        </is>
      </c>
      <c r="E41" s="21" t="inlineStr">
        <is>
          <t>Dedicated high-throughput Alchemy/QuickNode endpoints</t>
        </is>
      </c>
    </row>
    <row r="42">
      <c r="B42" s="10" t="inlineStr">
        <is>
          <t>AWS/GCP Serverless Engine Base</t>
        </is>
      </c>
      <c r="C42" s="23" t="n">
        <v>1800</v>
      </c>
      <c r="D42" s="20" t="inlineStr">
        <is>
          <t>$</t>
        </is>
      </c>
      <c r="E42" s="21" t="inlineStr">
        <is>
          <t>Database clusters, Redis low-latency cache, API gateways</t>
        </is>
      </c>
    </row>
    <row r="43">
      <c r="B43" s="10" t="inlineStr">
        <is>
          <t>Cloud Variable Cost per $1M Routed</t>
        </is>
      </c>
      <c r="C43" s="23" t="n">
        <v>12</v>
      </c>
      <c r="D43" s="20" t="inlineStr">
        <is>
          <t>$</t>
        </is>
      </c>
      <c r="E43" s="21" t="inlineStr">
        <is>
          <t>Elastic serverless execution scaling per order million</t>
        </is>
      </c>
    </row>
    <row r="44">
      <c r="B44" s="10" t="inlineStr">
        <is>
          <t>FIPS 140-2 Level 3 HSM Hardware Security</t>
        </is>
      </c>
      <c r="C44" s="23" t="n">
        <v>1500</v>
      </c>
      <c r="D44" s="20" t="inlineStr">
        <is>
          <t>$</t>
        </is>
      </c>
      <c r="E44" s="21" t="inlineStr">
        <is>
          <t>Dedicated cryptographic key validation hardware</t>
        </is>
      </c>
    </row>
    <row r="45">
      <c r="B45" s="10" t="inlineStr">
        <is>
          <t>Real-Time L2 Market Data Streaming Relays</t>
        </is>
      </c>
      <c r="C45" s="23" t="n">
        <v>2000</v>
      </c>
      <c r="D45" s="20" t="inlineStr">
        <is>
          <t>$</t>
        </is>
      </c>
      <c r="E45" s="21" t="inlineStr">
        <is>
          <t>WebSocket distribution clusters</t>
        </is>
      </c>
    </row>
    <row r="46"/>
    <row r="47">
      <c r="B47" s="7" t="inlineStr">
        <is>
          <t>6. PERSONNEL HEADCOUNT &amp; SALARY ASSUMPTIONS</t>
        </is>
      </c>
    </row>
    <row r="48">
      <c r="B48" s="8" t="inlineStr">
        <is>
          <t>Role / Title</t>
        </is>
      </c>
      <c r="C48" s="9" t="inlineStr">
        <is>
          <t>Annual Base</t>
        </is>
      </c>
      <c r="D48" s="9" t="inlineStr">
        <is>
          <t>Unit</t>
        </is>
      </c>
      <c r="E48" s="9" t="inlineStr">
        <is>
          <t>Fully Burdened Rate (+22% Payroll Taxes/Benefits)</t>
        </is>
      </c>
    </row>
    <row r="49">
      <c r="B49" s="10" t="inlineStr">
        <is>
          <t>Low-Latency / C++ / Rust Systems Engineer</t>
        </is>
      </c>
      <c r="C49" s="23" t="n">
        <v>210000</v>
      </c>
      <c r="D49" s="20" t="inlineStr">
        <is>
          <t>$</t>
        </is>
      </c>
      <c r="E49" s="21" t="inlineStr">
        <is>
          <t>$256,200 fully loaded annual compensation</t>
        </is>
      </c>
    </row>
    <row r="50">
      <c r="B50" s="10" t="inlineStr">
        <is>
          <t>Quantitative Microstructure Researcher</t>
        </is>
      </c>
      <c r="C50" s="23" t="n">
        <v>220000</v>
      </c>
      <c r="D50" s="20" t="inlineStr">
        <is>
          <t>$</t>
        </is>
      </c>
      <c r="E50" s="21" t="inlineStr">
        <is>
          <t>$268,400 fully loaded annual compensation</t>
        </is>
      </c>
    </row>
    <row r="51">
      <c r="B51" s="10" t="inlineStr">
        <is>
          <t>VP Institutional Sales / Business Dev</t>
        </is>
      </c>
      <c r="C51" s="23" t="n">
        <v>160000</v>
      </c>
      <c r="D51" s="20" t="inlineStr">
        <is>
          <t>$</t>
        </is>
      </c>
      <c r="E51" s="21" t="inlineStr">
        <is>
          <t>$195,200 base + commission tied to desk quota</t>
        </is>
      </c>
    </row>
    <row r="52">
      <c r="B52" s="10" t="inlineStr">
        <is>
          <t>Solutions Architect / Desk Integration Engineer</t>
        </is>
      </c>
      <c r="C52" s="23" t="n">
        <v>150000</v>
      </c>
      <c r="D52" s="20" t="inlineStr">
        <is>
          <t>$</t>
        </is>
      </c>
      <c r="E52" s="21" t="inlineStr">
        <is>
          <t>$183,000 fully loaded annual compensation</t>
        </is>
      </c>
    </row>
    <row r="53">
      <c r="B53" s="10" t="inlineStr">
        <is>
          <t>General Counsel &amp; Chief Compliance Officer</t>
        </is>
      </c>
      <c r="C53" s="23" t="n">
        <v>200000</v>
      </c>
      <c r="D53" s="20" t="inlineStr">
        <is>
          <t>$</t>
        </is>
      </c>
      <c r="E53" s="21" t="inlineStr">
        <is>
          <t>$244,000 fully loaded annual compensation</t>
        </is>
      </c>
    </row>
    <row r="54">
      <c r="B54" s="10" t="inlineStr">
        <is>
          <t>Operations / Financial Controller</t>
        </is>
      </c>
      <c r="C54" s="23" t="n">
        <v>140000</v>
      </c>
      <c r="D54" s="20" t="inlineStr">
        <is>
          <t>$</t>
        </is>
      </c>
      <c r="E54" s="21" t="inlineStr">
        <is>
          <t>$170,800 fully loaded annual compensation</t>
        </is>
      </c>
    </row>
  </sheetData>
  <mergeCells count="6">
    <mergeCell ref="B23:E23"/>
    <mergeCell ref="B29:E29"/>
    <mergeCell ref="B47:E47"/>
    <mergeCell ref="B5:E5"/>
    <mergeCell ref="B37:E37"/>
    <mergeCell ref="B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6" customWidth="1" min="3" max="3"/>
    <col width="21" customWidth="1" min="4" max="4"/>
    <col width="17" customWidth="1" min="5" max="5"/>
    <col width="25" customWidth="1" min="6" max="6"/>
    <col width="25" customWidth="1" min="7" max="7"/>
  </cols>
  <sheetData>
    <row r="1"/>
    <row r="2">
      <c r="B2" s="1" t="inlineStr">
        <is>
          <t>PRISM 5-YEAR PRO-FORMA INCOME STATEMENT (ANNUAL)</t>
        </is>
      </c>
    </row>
    <row r="3">
      <c r="B3" s="3" t="inlineStr">
        <is>
          <t>Forecast of Revenues, COGS, OpEx, EBITDA, and Net Income (2026 - 2030)</t>
        </is>
      </c>
    </row>
    <row r="4"/>
    <row r="5">
      <c r="B5" s="8" t="inlineStr">
        <is>
          <t>Line Item / Operational Metric</t>
        </is>
      </c>
      <c r="C5" s="9" t="inlineStr">
        <is>
          <t>Year 1 (Seed)</t>
        </is>
      </c>
      <c r="D5" s="9" t="inlineStr">
        <is>
          <t>Year 2 (Expansion)</t>
        </is>
      </c>
      <c r="E5" s="9" t="inlineStr">
        <is>
          <t>Year 3 (Scale)</t>
        </is>
      </c>
      <c r="F5" s="9" t="inlineStr">
        <is>
          <t>Year 4 (Institutional)</t>
        </is>
      </c>
      <c r="G5" s="9" t="inlineStr">
        <is>
          <t>Year 5 (Category King)</t>
        </is>
      </c>
    </row>
    <row r="6"/>
    <row r="7">
      <c r="B7" s="7" t="inlineStr">
        <is>
          <t>KEY REVENUE DRIVERS</t>
        </is>
      </c>
    </row>
    <row r="8">
      <c r="B8" s="10" t="inlineStr">
        <is>
          <t>Tier 1 Clients (Core API @ $2.5k/mo)</t>
        </is>
      </c>
      <c r="C8" s="11" t="n">
        <v>4</v>
      </c>
      <c r="D8" s="11" t="n">
        <v>15</v>
      </c>
      <c r="E8" s="11" t="n">
        <v>35</v>
      </c>
      <c r="F8" s="11" t="n">
        <v>60</v>
      </c>
      <c r="G8" s="11" t="n">
        <v>95</v>
      </c>
    </row>
    <row r="9">
      <c r="B9" s="10" t="inlineStr">
        <is>
          <t>Tier 2 Clients (Institutional Desk @ $12k/mo)</t>
        </is>
      </c>
      <c r="C9" s="11" t="n">
        <v>7</v>
      </c>
      <c r="D9" s="11" t="n">
        <v>28</v>
      </c>
      <c r="E9" s="11" t="n">
        <v>75</v>
      </c>
      <c r="F9" s="11" t="n">
        <v>140</v>
      </c>
      <c r="G9" s="11" t="n">
        <v>220</v>
      </c>
    </row>
    <row r="10">
      <c r="B10" s="10" t="inlineStr">
        <is>
          <t>Tier 3 Clients (Prime Direct @ $35k/mo)</t>
        </is>
      </c>
      <c r="C10" s="11" t="n">
        <v>1</v>
      </c>
      <c r="D10" s="11" t="n">
        <v>5</v>
      </c>
      <c r="E10" s="11" t="n">
        <v>18</v>
      </c>
      <c r="F10" s="11" t="n">
        <v>38</v>
      </c>
      <c r="G10" s="11" t="n">
        <v>65</v>
      </c>
    </row>
    <row r="11">
      <c r="B11" s="10" t="inlineStr">
        <is>
          <t>Tier 4 Clients (Sovereign Co-Lo @ $65k/mo)</t>
        </is>
      </c>
      <c r="C11" s="11" t="n">
        <v>0</v>
      </c>
      <c r="D11" s="11" t="n">
        <v>0</v>
      </c>
      <c r="E11" s="11" t="n">
        <v>2</v>
      </c>
      <c r="F11" s="11" t="n">
        <v>6</v>
      </c>
      <c r="G11" s="11" t="n">
        <v>12</v>
      </c>
    </row>
    <row r="12">
      <c r="B12" s="13" t="inlineStr">
        <is>
          <t>Total Active Institutional Desks</t>
        </is>
      </c>
      <c r="C12" s="25">
        <f>SUM(C8:C11)</f>
        <v/>
      </c>
      <c r="D12" s="25">
        <f>SUM(D8:D11)</f>
        <v/>
      </c>
      <c r="E12" s="25">
        <f>SUM(E8:E11)</f>
        <v/>
      </c>
      <c r="F12" s="25">
        <f>SUM(F8:F11)</f>
        <v/>
      </c>
      <c r="G12" s="25">
        <f>SUM(G8:G11)</f>
        <v/>
      </c>
    </row>
    <row r="13">
      <c r="B13" s="10" t="inlineStr">
        <is>
          <t>Average Monthly Routed Volume per Desk ($M)</t>
        </is>
      </c>
      <c r="C13" s="26" t="n">
        <v>6.7</v>
      </c>
      <c r="D13" s="26" t="n">
        <v>7.3</v>
      </c>
      <c r="E13" s="26" t="n">
        <v>10.8</v>
      </c>
      <c r="F13" s="26" t="n">
        <v>14.2</v>
      </c>
      <c r="G13" s="26" t="n">
        <v>17.5</v>
      </c>
    </row>
    <row r="14">
      <c r="B14" s="13" t="inlineStr">
        <is>
          <t>Annual Routed Notional Volume ($M)</t>
        </is>
      </c>
      <c r="C14" s="14">
        <f>C12*C13*12</f>
        <v/>
      </c>
      <c r="D14" s="14">
        <f>D12*D13*12</f>
        <v/>
      </c>
      <c r="E14" s="14">
        <f>E12*E13*12</f>
        <v/>
      </c>
      <c r="F14" s="14">
        <f>F12*F13*12</f>
        <v/>
      </c>
      <c r="G14" s="14">
        <f>G12*G13*12</f>
        <v/>
      </c>
    </row>
    <row r="15"/>
    <row r="16">
      <c r="B16" s="7" t="inlineStr">
        <is>
          <t>REVENUE STREAMS</t>
        </is>
      </c>
    </row>
    <row r="17">
      <c r="B17" s="10" t="inlineStr">
        <is>
          <t>Tier 1: Core Quant API Revenue</t>
        </is>
      </c>
      <c r="C17" s="12">
        <f>C8*'Model Assumptions'!C15*12</f>
        <v/>
      </c>
      <c r="D17" s="12">
        <f>D8*'Model Assumptions'!C15*12</f>
        <v/>
      </c>
      <c r="E17" s="12">
        <f>E8*'Model Assumptions'!C15*12</f>
        <v/>
      </c>
      <c r="F17" s="12">
        <f>F8*'Model Assumptions'!C15*12</f>
        <v/>
      </c>
      <c r="G17" s="12">
        <f>G8*'Model Assumptions'!C15*12</f>
        <v/>
      </c>
    </row>
    <row r="18">
      <c r="B18" s="10" t="inlineStr">
        <is>
          <t>Tier 2: Institutional Desk Revenue</t>
        </is>
      </c>
      <c r="C18" s="12">
        <f>C9*'Model Assumptions'!C16*12</f>
        <v/>
      </c>
      <c r="D18" s="12">
        <f>D9*'Model Assumptions'!C16*12</f>
        <v/>
      </c>
      <c r="E18" s="12">
        <f>E9*'Model Assumptions'!C16*12</f>
        <v/>
      </c>
      <c r="F18" s="12">
        <f>F9*'Model Assumptions'!C16*12</f>
        <v/>
      </c>
      <c r="G18" s="12">
        <f>G9*'Model Assumptions'!C16*12</f>
        <v/>
      </c>
    </row>
    <row r="19">
      <c r="B19" s="10" t="inlineStr">
        <is>
          <t>Tier 3: Prime Direct Revenue</t>
        </is>
      </c>
      <c r="C19" s="12">
        <f>C10*'Model Assumptions'!C17*12</f>
        <v/>
      </c>
      <c r="D19" s="12">
        <f>D10*'Model Assumptions'!C17*12</f>
        <v/>
      </c>
      <c r="E19" s="12">
        <f>E10*'Model Assumptions'!C17*12</f>
        <v/>
      </c>
      <c r="F19" s="12">
        <f>F10*'Model Assumptions'!C17*12</f>
        <v/>
      </c>
      <c r="G19" s="12">
        <f>G10*'Model Assumptions'!C17*12</f>
        <v/>
      </c>
    </row>
    <row r="20">
      <c r="B20" s="10" t="inlineStr">
        <is>
          <t>Tier 4: Sovereign Co-Lo Revenue</t>
        </is>
      </c>
      <c r="C20" s="12">
        <f>C11*'Model Assumptions'!C18*12</f>
        <v/>
      </c>
      <c r="D20" s="12">
        <f>D11*'Model Assumptions'!C18*12</f>
        <v/>
      </c>
      <c r="E20" s="12">
        <f>E11*'Model Assumptions'!C18*12</f>
        <v/>
      </c>
      <c r="F20" s="12">
        <f>F11*'Model Assumptions'!C18*12</f>
        <v/>
      </c>
      <c r="G20" s="12">
        <f>G11*'Model Assumptions'!C18*12</f>
        <v/>
      </c>
    </row>
    <row r="21">
      <c r="B21" s="13" t="inlineStr">
        <is>
          <t>Total SaaS Subscription Revenue (ARR)</t>
        </is>
      </c>
      <c r="C21" s="27">
        <f>SUM(C17:C20)</f>
        <v/>
      </c>
      <c r="D21" s="27">
        <f>SUM(D17:D20)</f>
        <v/>
      </c>
      <c r="E21" s="27">
        <f>SUM(E17:E20)</f>
        <v/>
      </c>
      <c r="F21" s="27">
        <f>SUM(F17:F20)</f>
        <v/>
      </c>
      <c r="G21" s="27">
        <f>SUM(G17:G20)</f>
        <v/>
      </c>
    </row>
    <row r="22">
      <c r="B22" s="10" t="inlineStr">
        <is>
          <t>Volume Routing Take-Rate (1.5 bps)</t>
        </is>
      </c>
      <c r="C22" s="12">
        <f>C14*1000000*'Model Assumptions'!C24</f>
        <v/>
      </c>
      <c r="D22" s="12">
        <f>D14*1000000*'Model Assumptions'!C24</f>
        <v/>
      </c>
      <c r="E22" s="12">
        <f>E14*1000000*'Model Assumptions'!C24</f>
        <v/>
      </c>
      <c r="F22" s="12">
        <f>F14*1000000*'Model Assumptions'!C24</f>
        <v/>
      </c>
      <c r="G22" s="12">
        <f>G14*1000000*'Model Assumptions'!C24</f>
        <v/>
      </c>
    </row>
    <row r="23">
      <c r="B23" s="10" t="inlineStr">
        <is>
          <t>Premium Data &amp; Legal Oracle Feeds</t>
        </is>
      </c>
      <c r="C23" s="12" t="n">
        <v>75000</v>
      </c>
      <c r="D23" s="12" t="n">
        <v>360000</v>
      </c>
      <c r="E23" s="12" t="n">
        <v>1100000</v>
      </c>
      <c r="F23" s="12" t="n">
        <v>2400000</v>
      </c>
      <c r="G23" s="12" t="n">
        <v>4200000</v>
      </c>
    </row>
    <row r="24">
      <c r="B24" s="13" t="inlineStr">
        <is>
          <t>Total Gross Contracted Revenue</t>
        </is>
      </c>
      <c r="C24" s="27">
        <f>SUM(C21:C23)</f>
        <v/>
      </c>
      <c r="D24" s="27">
        <f>SUM(D21:D23)</f>
        <v/>
      </c>
      <c r="E24" s="27">
        <f>SUM(E21:E23)</f>
        <v/>
      </c>
      <c r="F24" s="27">
        <f>SUM(F21:F23)</f>
        <v/>
      </c>
      <c r="G24" s="27">
        <f>SUM(G21:G23)</f>
        <v/>
      </c>
    </row>
    <row r="25">
      <c r="B25" s="10" t="inlineStr">
        <is>
          <t>Less: Annual Prepay Cash Discounts</t>
        </is>
      </c>
      <c r="C25" s="12">
        <f>-C21*'Model Assumptions'!C19*'Model Assumptions'!C20</f>
        <v/>
      </c>
      <c r="D25" s="12">
        <f>-D21*'Model Assumptions'!C19*'Model Assumptions'!C20</f>
        <v/>
      </c>
      <c r="E25" s="12">
        <f>-E21*'Model Assumptions'!C19*'Model Assumptions'!C20</f>
        <v/>
      </c>
      <c r="F25" s="12">
        <f>-F21*'Model Assumptions'!C19*'Model Assumptions'!C20</f>
        <v/>
      </c>
      <c r="G25" s="12">
        <f>-G21*'Model Assumptions'!C19*'Model Assumptions'!C20</f>
        <v/>
      </c>
    </row>
    <row r="26">
      <c r="B26" s="13" t="inlineStr">
        <is>
          <t>NET RECOGNIZED REVENUE</t>
        </is>
      </c>
      <c r="C26" s="28">
        <f>C24+C25</f>
        <v/>
      </c>
      <c r="D26" s="28">
        <f>D24+D25</f>
        <v/>
      </c>
      <c r="E26" s="28">
        <f>E24+E25</f>
        <v/>
      </c>
      <c r="F26" s="28">
        <f>F24+F25</f>
        <v/>
      </c>
      <c r="G26" s="28">
        <f>G24+G25</f>
        <v/>
      </c>
    </row>
    <row r="27"/>
    <row r="28">
      <c r="B28" s="7" t="inlineStr">
        <is>
          <t>COST OF GOODS SOLD (COGS)</t>
        </is>
      </c>
    </row>
    <row r="29">
      <c r="B29" s="10" t="inlineStr">
        <is>
          <t>Equinix NY4 Co-Location &amp; Cross-Connects</t>
        </is>
      </c>
      <c r="C29" s="12">
        <f>('Model Assumptions'!C36*12)+(C12*'Model Assumptions'!C37*12/10)</f>
        <v/>
      </c>
      <c r="D29" s="12">
        <f>('Model Assumptions'!C36*12)+(D12*'Model Assumptions'!C37*12/10)</f>
        <v/>
      </c>
      <c r="E29" s="12">
        <f>('Model Assumptions'!C36*12)+(E12*'Model Assumptions'!C37*12/10)</f>
        <v/>
      </c>
      <c r="F29" s="12">
        <f>('Model Assumptions'!C36*12)+(F12*'Model Assumptions'!C37*12/10)</f>
        <v/>
      </c>
      <c r="G29" s="12">
        <f>('Model Assumptions'!C36*12)+(G12*'Model Assumptions'!C37*12/10)</f>
        <v/>
      </c>
    </row>
    <row r="30">
      <c r="B30" s="10" t="inlineStr">
        <is>
          <t>Enterprise RPC Nodes &amp; L2 Gas Relayers</t>
        </is>
      </c>
      <c r="C30" s="12">
        <f>'Model Assumptions'!C38*12</f>
        <v/>
      </c>
      <c r="D30" s="12">
        <f>'Model Assumptions'!C38*12*1.8</f>
        <v/>
      </c>
      <c r="E30" s="12">
        <f>'Model Assumptions'!C38*12*3.2</f>
        <v/>
      </c>
      <c r="F30" s="12">
        <f>'Model Assumptions'!C38*12*5.5</f>
        <v/>
      </c>
      <c r="G30" s="12">
        <f>'Model Assumptions'!C38*12*8.0</f>
        <v/>
      </c>
    </row>
    <row r="31">
      <c r="B31" s="10" t="inlineStr">
        <is>
          <t>Cloud Compute, Redis &amp; WebSocket Relays</t>
        </is>
      </c>
      <c r="C31" s="12">
        <f>('Model Assumptions'!C39*12)+(C14*'Model Assumptions'!C40)</f>
        <v/>
      </c>
      <c r="D31" s="12">
        <f>('Model Assumptions'!C39*12)+(D14*'Model Assumptions'!C40)</f>
        <v/>
      </c>
      <c r="E31" s="12">
        <f>('Model Assumptions'!C39*12)+(E14*'Model Assumptions'!C40)</f>
        <v/>
      </c>
      <c r="F31" s="12">
        <f>('Model Assumptions'!C39*12)+(F14*'Model Assumptions'!C40)</f>
        <v/>
      </c>
      <c r="G31" s="12">
        <f>('Model Assumptions'!C39*12)+(G14*'Model Assumptions'!C40)</f>
        <v/>
      </c>
    </row>
    <row r="32">
      <c r="B32" s="10" t="inlineStr">
        <is>
          <t>FIPS 140-2 Hardware HSM Cryptographic Security</t>
        </is>
      </c>
      <c r="C32" s="12">
        <f>'Model Assumptions'!C41*12</f>
        <v/>
      </c>
      <c r="D32" s="12">
        <f>'Model Assumptions'!C41*12*1.5</f>
        <v/>
      </c>
      <c r="E32" s="12">
        <f>'Model Assumptions'!C41*12*2.2</f>
        <v/>
      </c>
      <c r="F32" s="12">
        <f>'Model Assumptions'!C41*12*3.5</f>
        <v/>
      </c>
      <c r="G32" s="12">
        <f>'Model Assumptions'!C41*12*5.0</f>
        <v/>
      </c>
    </row>
    <row r="33">
      <c r="B33" s="13" t="inlineStr">
        <is>
          <t>TOTAL COST OF GOODS SOLD</t>
        </is>
      </c>
      <c r="C33" s="27">
        <f>SUM(C29:C32)</f>
        <v/>
      </c>
      <c r="D33" s="27">
        <f>SUM(D29:D32)</f>
        <v/>
      </c>
      <c r="E33" s="27">
        <f>SUM(E29:E32)</f>
        <v/>
      </c>
      <c r="F33" s="27">
        <f>SUM(F29:F32)</f>
        <v/>
      </c>
      <c r="G33" s="27">
        <f>SUM(G29:G32)</f>
        <v/>
      </c>
    </row>
    <row r="34">
      <c r="B34" s="13" t="inlineStr">
        <is>
          <t>GROSS PROFIT</t>
        </is>
      </c>
      <c r="C34" s="27">
        <f>C26-C33</f>
        <v/>
      </c>
      <c r="D34" s="27">
        <f>D26-D33</f>
        <v/>
      </c>
      <c r="E34" s="27">
        <f>E26-E33</f>
        <v/>
      </c>
      <c r="F34" s="27">
        <f>F26-F33</f>
        <v/>
      </c>
      <c r="G34" s="27">
        <f>G26-G33</f>
        <v/>
      </c>
    </row>
    <row r="35">
      <c r="B35" s="10" t="inlineStr">
        <is>
          <t>Gross Margin %</t>
        </is>
      </c>
      <c r="C35" s="16">
        <f>C34/C26</f>
        <v/>
      </c>
      <c r="D35" s="16">
        <f>D34/D26</f>
        <v/>
      </c>
      <c r="E35" s="16">
        <f>E34/E26</f>
        <v/>
      </c>
      <c r="F35" s="16">
        <f>F34/F26</f>
        <v/>
      </c>
      <c r="G35" s="16">
        <f>G34/G26</f>
        <v/>
      </c>
    </row>
    <row r="36"/>
    <row r="37">
      <c r="B37" s="7" t="inlineStr">
        <is>
          <t>OPERATING EXPENSES (OPEX)</t>
        </is>
      </c>
    </row>
    <row r="38">
      <c r="B38" s="10" t="inlineStr">
        <is>
          <t>Research &amp; Development (R&amp;D / Low-Latency Engineering)</t>
        </is>
      </c>
      <c r="C38" s="12" t="n">
        <v>850000</v>
      </c>
      <c r="D38" s="12" t="n">
        <v>1800000</v>
      </c>
      <c r="E38" s="12" t="n">
        <v>3600000</v>
      </c>
      <c r="F38" s="12" t="n">
        <v>6200000</v>
      </c>
      <c r="G38" s="12" t="n">
        <v>9500000</v>
      </c>
    </row>
    <row r="39">
      <c r="B39" s="10" t="inlineStr">
        <is>
          <t>Sales &amp; Marketing (Institutional Sales, Travel, Marketing)</t>
        </is>
      </c>
      <c r="C39" s="12" t="n">
        <v>220000</v>
      </c>
      <c r="D39" s="12" t="n">
        <v>650000</v>
      </c>
      <c r="E39" s="12" t="n">
        <v>1400000</v>
      </c>
      <c r="F39" s="12" t="n">
        <v>2800000</v>
      </c>
      <c r="G39" s="12" t="n">
        <v>4800000</v>
      </c>
    </row>
    <row r="40">
      <c r="B40" s="10" t="inlineStr">
        <is>
          <t>General &amp; Administrative (Legal, Compliance, Audits, Insurance)</t>
        </is>
      </c>
      <c r="C40" s="12" t="n">
        <v>110000</v>
      </c>
      <c r="D40" s="12" t="n">
        <v>240000</v>
      </c>
      <c r="E40" s="12" t="n">
        <v>450000</v>
      </c>
      <c r="F40" s="12" t="n">
        <v>850000</v>
      </c>
      <c r="G40" s="12" t="n">
        <v>1400000</v>
      </c>
    </row>
    <row r="41">
      <c r="B41" s="10" t="inlineStr">
        <is>
          <t>Enterprise Tools, Security Audits &amp; G&amp;A Infrastructure</t>
        </is>
      </c>
      <c r="C41" s="12" t="n">
        <v>70000</v>
      </c>
      <c r="D41" s="12" t="n">
        <v>150000</v>
      </c>
      <c r="E41" s="12" t="n">
        <v>320000</v>
      </c>
      <c r="F41" s="12" t="n">
        <v>580000</v>
      </c>
      <c r="G41" s="12" t="n">
        <v>920000</v>
      </c>
    </row>
    <row r="42">
      <c r="B42" s="13" t="inlineStr">
        <is>
          <t>TOTAL OPERATING EXPENSES</t>
        </is>
      </c>
      <c r="C42" s="27">
        <f>SUM(C38:C41)</f>
        <v/>
      </c>
      <c r="D42" s="27">
        <f>SUM(D38:D41)</f>
        <v/>
      </c>
      <c r="E42" s="27">
        <f>SUM(E38:E41)</f>
        <v/>
      </c>
      <c r="F42" s="27">
        <f>SUM(F38:F41)</f>
        <v/>
      </c>
      <c r="G42" s="27">
        <f>SUM(G38:G41)</f>
        <v/>
      </c>
    </row>
    <row r="43"/>
    <row r="44">
      <c r="B44" s="7" t="inlineStr">
        <is>
          <t>PROFITABILITY &amp; CASH GENERATION</t>
        </is>
      </c>
    </row>
    <row r="45">
      <c r="B45" s="13" t="inlineStr">
        <is>
          <t>EBITDA (OPERATING PROFIT)</t>
        </is>
      </c>
      <c r="C45" s="27">
        <f>C34-C42</f>
        <v/>
      </c>
      <c r="D45" s="27">
        <f>D34-D42</f>
        <v/>
      </c>
      <c r="E45" s="27">
        <f>E34-E42</f>
        <v/>
      </c>
      <c r="F45" s="27">
        <f>F34-F42</f>
        <v/>
      </c>
      <c r="G45" s="27">
        <f>G34-G42</f>
        <v/>
      </c>
    </row>
    <row r="46">
      <c r="B46" s="13" t="inlineStr">
        <is>
          <t>EBITDA Margin %</t>
        </is>
      </c>
      <c r="C46" s="29">
        <f>C45/C26</f>
        <v/>
      </c>
      <c r="D46" s="29">
        <f>D45/D26</f>
        <v/>
      </c>
      <c r="E46" s="29">
        <f>E45/E26</f>
        <v/>
      </c>
      <c r="F46" s="29">
        <f>F45/F26</f>
        <v/>
      </c>
      <c r="G46" s="29">
        <f>G45/G26</f>
        <v/>
      </c>
    </row>
    <row r="47">
      <c r="B47" s="10" t="inlineStr">
        <is>
          <t>Less: Depreciation &amp; Amortization (Servers/Hardware)</t>
        </is>
      </c>
      <c r="C47" s="12" t="n">
        <v>24000</v>
      </c>
      <c r="D47" s="12" t="n">
        <v>52000</v>
      </c>
      <c r="E47" s="12" t="n">
        <v>110000</v>
      </c>
      <c r="F47" s="12" t="n">
        <v>210000</v>
      </c>
      <c r="G47" s="12" t="n">
        <v>350000</v>
      </c>
    </row>
    <row r="48">
      <c r="B48" s="10" t="inlineStr">
        <is>
          <t>Operating Income (EBIT)</t>
        </is>
      </c>
      <c r="C48" s="12">
        <f>C45-C47</f>
        <v/>
      </c>
      <c r="D48" s="12">
        <f>D45-D47</f>
        <v/>
      </c>
      <c r="E48" s="12">
        <f>E45-E47</f>
        <v/>
      </c>
      <c r="F48" s="12">
        <f>F45-F47</f>
        <v/>
      </c>
      <c r="G48" s="12">
        <f>G45-G47</f>
        <v/>
      </c>
    </row>
    <row r="49">
      <c r="B49" s="10" t="inlineStr">
        <is>
          <t>Net Interest Income (Treasury Cash Reserve Yield @ 4.8%)</t>
        </is>
      </c>
      <c r="C49" s="16" t="n">
        <v>134400</v>
      </c>
      <c r="D49" s="16" t="n">
        <v>115000</v>
      </c>
      <c r="E49" s="16" t="n">
        <v>280000</v>
      </c>
      <c r="F49" s="16" t="n">
        <v>650000</v>
      </c>
      <c r="G49" s="16" t="n">
        <v>1420000</v>
      </c>
    </row>
    <row r="50">
      <c r="B50" s="10" t="inlineStr">
        <is>
          <t>Earnings Before Taxes (EBT)</t>
        </is>
      </c>
      <c r="C50" s="12">
        <f>C48+C49</f>
        <v/>
      </c>
      <c r="D50" s="12">
        <f>D48+D49</f>
        <v/>
      </c>
      <c r="E50" s="12">
        <f>E48+E49</f>
        <v/>
      </c>
      <c r="F50" s="12">
        <f>F48+F49</f>
        <v/>
      </c>
      <c r="G50" s="12">
        <f>G48+G49</f>
        <v/>
      </c>
    </row>
    <row r="51">
      <c r="B51" s="10" t="inlineStr">
        <is>
          <t>Income Tax Expense (21% Federal/State Effective)</t>
        </is>
      </c>
      <c r="C51" s="16">
        <f>IF(C50&gt;0, C50*0.21, 0)</f>
        <v/>
      </c>
      <c r="D51" s="16">
        <f>IF(D50&gt;0, D50*0.21, 0)</f>
        <v/>
      </c>
      <c r="E51" s="16">
        <f>IF(E50&gt;0, E50*0.21, 0)</f>
        <v/>
      </c>
      <c r="F51" s="16">
        <f>IF(F50&gt;0, F50*0.21, 0)</f>
        <v/>
      </c>
      <c r="G51" s="16">
        <f>IF(G50&gt;0, G50*0.21, 0)</f>
        <v/>
      </c>
    </row>
    <row r="52">
      <c r="B52" s="13" t="inlineStr">
        <is>
          <t>NET INCOME (AFTER-TAX PROFIT)</t>
        </is>
      </c>
      <c r="C52" s="30">
        <f>C50-C51</f>
        <v/>
      </c>
      <c r="D52" s="30">
        <f>D50-D51</f>
        <v/>
      </c>
      <c r="E52" s="30">
        <f>E50-E51</f>
        <v/>
      </c>
      <c r="F52" s="30">
        <f>F50-F51</f>
        <v/>
      </c>
      <c r="G52" s="30">
        <f>G50-G51</f>
        <v/>
      </c>
    </row>
    <row r="53">
      <c r="B53" s="10" t="inlineStr">
        <is>
          <t>Net Income Margin %</t>
        </is>
      </c>
      <c r="C53" s="16">
        <f>C52/C26</f>
        <v/>
      </c>
      <c r="D53" s="16">
        <f>D52/D26</f>
        <v/>
      </c>
      <c r="E53" s="16">
        <f>E52/E26</f>
        <v/>
      </c>
      <c r="F53" s="16">
        <f>F52/F26</f>
        <v/>
      </c>
      <c r="G53" s="16">
        <f>G52/G26</f>
        <v/>
      </c>
    </row>
  </sheetData>
  <mergeCells count="5">
    <mergeCell ref="B16:G16"/>
    <mergeCell ref="B28:G28"/>
    <mergeCell ref="B37:G37"/>
    <mergeCell ref="B44:G44"/>
    <mergeCell ref="B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/>
    <row r="2">
      <c r="B2" s="1" t="inlineStr">
        <is>
          <t>PRISM YEAR 1 MONTHLY CASH FLOW &amp; RUNWAY MONITOR</t>
        </is>
      </c>
    </row>
    <row r="3">
      <c r="B3" s="3" t="inlineStr">
        <is>
          <t>Demonstrating Capital Preservation, Upfront Float, and Net Burn Path from Seed Funding</t>
        </is>
      </c>
    </row>
    <row r="4"/>
    <row r="5">
      <c r="B5" s="31" t="inlineStr">
        <is>
          <t>Cash Flow Line Item</t>
        </is>
      </c>
      <c r="C5" s="9" t="inlineStr">
        <is>
          <t>Month 1</t>
        </is>
      </c>
      <c r="D5" s="9" t="inlineStr">
        <is>
          <t>Month 2</t>
        </is>
      </c>
      <c r="E5" s="9" t="inlineStr">
        <is>
          <t>Month 3</t>
        </is>
      </c>
      <c r="F5" s="9" t="inlineStr">
        <is>
          <t>Month 4</t>
        </is>
      </c>
      <c r="G5" s="9" t="inlineStr">
        <is>
          <t>Month 5</t>
        </is>
      </c>
      <c r="H5" s="9" t="inlineStr">
        <is>
          <t>Month 6</t>
        </is>
      </c>
      <c r="I5" s="9" t="inlineStr">
        <is>
          <t>Month 7</t>
        </is>
      </c>
      <c r="J5" s="9" t="inlineStr">
        <is>
          <t>Month 8</t>
        </is>
      </c>
      <c r="K5" s="9" t="inlineStr">
        <is>
          <t>Month 9</t>
        </is>
      </c>
      <c r="L5" s="9" t="inlineStr">
        <is>
          <t>Month 10</t>
        </is>
      </c>
      <c r="M5" s="9" t="inlineStr">
        <is>
          <t>Month 11</t>
        </is>
      </c>
      <c r="N5" s="9" t="inlineStr">
        <is>
          <t>Month 12</t>
        </is>
      </c>
    </row>
    <row r="6">
      <c r="B6" s="13" t="inlineStr">
        <is>
          <t>Beginning Cash Balance</t>
        </is>
      </c>
      <c r="C6" s="14" t="n">
        <v>3500000</v>
      </c>
      <c r="D6" s="14">
        <f>C26</f>
        <v/>
      </c>
      <c r="E6" s="14">
        <f>D26</f>
        <v/>
      </c>
      <c r="F6" s="14">
        <f>E26</f>
        <v/>
      </c>
      <c r="G6" s="14">
        <f>F26</f>
        <v/>
      </c>
      <c r="H6" s="14">
        <f>G26</f>
        <v/>
      </c>
      <c r="I6" s="14">
        <f>H26</f>
        <v/>
      </c>
      <c r="J6" s="14">
        <f>I26</f>
        <v/>
      </c>
      <c r="K6" s="14">
        <f>J26</f>
        <v/>
      </c>
      <c r="L6" s="14">
        <f>K26</f>
        <v/>
      </c>
      <c r="M6" s="14">
        <f>L26</f>
        <v/>
      </c>
      <c r="N6" s="14">
        <f>M26</f>
        <v/>
      </c>
    </row>
    <row r="7"/>
    <row r="8">
      <c r="B8" s="2" t="inlineStr">
        <is>
          <t>CASH INFLOWS:</t>
        </is>
      </c>
    </row>
    <row r="9">
      <c r="B9" s="13" t="inlineStr">
        <is>
          <t>Active Client Desks</t>
        </is>
      </c>
      <c r="C9" s="11" t="n">
        <v>1</v>
      </c>
      <c r="D9" s="11" t="n">
        <v>1</v>
      </c>
      <c r="E9" s="11" t="n">
        <v>2</v>
      </c>
      <c r="F9" s="11" t="n">
        <v>3</v>
      </c>
      <c r="G9" s="11" t="n">
        <v>4</v>
      </c>
      <c r="H9" s="11" t="n">
        <v>5</v>
      </c>
      <c r="I9" s="11" t="n">
        <v>6</v>
      </c>
      <c r="J9" s="11" t="n">
        <v>7</v>
      </c>
      <c r="K9" s="11" t="n">
        <v>8</v>
      </c>
      <c r="L9" s="11" t="n">
        <v>10</v>
      </c>
      <c r="M9" s="11" t="n">
        <v>11</v>
      </c>
      <c r="N9" s="11" t="n">
        <v>12</v>
      </c>
    </row>
    <row r="10">
      <c r="B10" s="13" t="inlineStr">
        <is>
          <t>Monthly Subscription Inflows</t>
        </is>
      </c>
      <c r="C10" s="12">
        <f>C9*'Model Assumptions'!C16</f>
        <v/>
      </c>
      <c r="D10" s="12">
        <f>D9*'Model Assumptions'!C16</f>
        <v/>
      </c>
      <c r="E10" s="12">
        <f>E9*'Model Assumptions'!C16</f>
        <v/>
      </c>
      <c r="F10" s="12">
        <f>F9*'Model Assumptions'!C16</f>
        <v/>
      </c>
      <c r="G10" s="12">
        <f>G9*'Model Assumptions'!C16</f>
        <v/>
      </c>
      <c r="H10" s="12">
        <f>H9*'Model Assumptions'!C16</f>
        <v/>
      </c>
      <c r="I10" s="12">
        <f>I9*'Model Assumptions'!C16</f>
        <v/>
      </c>
      <c r="J10" s="12">
        <f>J9*'Model Assumptions'!C16</f>
        <v/>
      </c>
      <c r="K10" s="12">
        <f>K9*'Model Assumptions'!C16</f>
        <v/>
      </c>
      <c r="L10" s="12">
        <f>L9*'Model Assumptions'!C16</f>
        <v/>
      </c>
      <c r="M10" s="12">
        <f>M9*'Model Assumptions'!C16</f>
        <v/>
      </c>
      <c r="N10" s="12">
        <f>N9*'Model Assumptions'!C16</f>
        <v/>
      </c>
    </row>
    <row r="11">
      <c r="B11" s="13" t="inlineStr">
        <is>
          <t>Annual Upfront Prepay Cash Float</t>
        </is>
      </c>
      <c r="C11" s="12" t="n">
        <v>122400</v>
      </c>
      <c r="D11" s="12" t="n">
        <v>0</v>
      </c>
      <c r="E11" s="12" t="n">
        <v>122400</v>
      </c>
      <c r="F11" s="12" t="n">
        <v>0</v>
      </c>
      <c r="G11" s="12" t="n">
        <v>122400</v>
      </c>
      <c r="H11" s="12" t="n">
        <v>122400</v>
      </c>
      <c r="I11" s="12" t="n">
        <v>0</v>
      </c>
      <c r="J11" s="12" t="n">
        <v>122400</v>
      </c>
      <c r="K11" s="12" t="n">
        <v>0</v>
      </c>
      <c r="L11" s="12" t="n">
        <v>122400</v>
      </c>
      <c r="M11" s="12" t="n">
        <v>122400</v>
      </c>
      <c r="N11" s="12" t="n">
        <v>122400</v>
      </c>
    </row>
    <row r="12">
      <c r="B12" s="13" t="inlineStr">
        <is>
          <t>Variable Volume Routing Fees</t>
        </is>
      </c>
      <c r="C12" s="12" t="n">
        <v>2500</v>
      </c>
      <c r="D12" s="12" t="n">
        <v>3200</v>
      </c>
      <c r="E12" s="12" t="n">
        <v>5400</v>
      </c>
      <c r="F12" s="12" t="n">
        <v>7800</v>
      </c>
      <c r="G12" s="12" t="n">
        <v>10500</v>
      </c>
      <c r="H12" s="12" t="n">
        <v>13200</v>
      </c>
      <c r="I12" s="12" t="n">
        <v>16800</v>
      </c>
      <c r="J12" s="12" t="n">
        <v>20400</v>
      </c>
      <c r="K12" s="12" t="n">
        <v>24500</v>
      </c>
      <c r="L12" s="12" t="n">
        <v>29000</v>
      </c>
      <c r="M12" s="12" t="n">
        <v>34000</v>
      </c>
      <c r="N12" s="12" t="n">
        <v>41000</v>
      </c>
    </row>
    <row r="13">
      <c r="B13" s="13" t="inlineStr">
        <is>
          <t>Treasury Yield (Cash Sweep @ 4.8%)</t>
        </is>
      </c>
      <c r="C13" s="12">
        <f>C6*0.048/12</f>
        <v/>
      </c>
      <c r="D13" s="12">
        <f>D6*0.048/12</f>
        <v/>
      </c>
      <c r="E13" s="12">
        <f>E6*0.048/12</f>
        <v/>
      </c>
      <c r="F13" s="12">
        <f>F6*0.048/12</f>
        <v/>
      </c>
      <c r="G13" s="12">
        <f>G6*0.048/12</f>
        <v/>
      </c>
      <c r="H13" s="12">
        <f>H6*0.048/12</f>
        <v/>
      </c>
      <c r="I13" s="12">
        <f>I6*0.048/12</f>
        <v/>
      </c>
      <c r="J13" s="12">
        <f>J6*0.048/12</f>
        <v/>
      </c>
      <c r="K13" s="12">
        <f>K6*0.048/12</f>
        <v/>
      </c>
      <c r="L13" s="12">
        <f>L6*0.048/12</f>
        <v/>
      </c>
      <c r="M13" s="12">
        <f>M6*0.048/12</f>
        <v/>
      </c>
      <c r="N13" s="12">
        <f>N6*0.048/12</f>
        <v/>
      </c>
    </row>
    <row r="14">
      <c r="B14" s="13" t="inlineStr">
        <is>
          <t>Total Monthly Cash Inflows</t>
        </is>
      </c>
      <c r="C14" s="27">
        <f>SUM(C10:C13)</f>
        <v/>
      </c>
      <c r="D14" s="27">
        <f>SUM(D10:D13)</f>
        <v/>
      </c>
      <c r="E14" s="27">
        <f>SUM(E10:E13)</f>
        <v/>
      </c>
      <c r="F14" s="27">
        <f>SUM(F10:F13)</f>
        <v/>
      </c>
      <c r="G14" s="27">
        <f>SUM(G10:G13)</f>
        <v/>
      </c>
      <c r="H14" s="27">
        <f>SUM(H10:H13)</f>
        <v/>
      </c>
      <c r="I14" s="27">
        <f>SUM(I10:I13)</f>
        <v/>
      </c>
      <c r="J14" s="27">
        <f>SUM(J10:J13)</f>
        <v/>
      </c>
      <c r="K14" s="27">
        <f>SUM(K10:K13)</f>
        <v/>
      </c>
      <c r="L14" s="27">
        <f>SUM(L10:L13)</f>
        <v/>
      </c>
      <c r="M14" s="27">
        <f>SUM(M10:M13)</f>
        <v/>
      </c>
      <c r="N14" s="27">
        <f>SUM(N10:N13)</f>
        <v/>
      </c>
    </row>
    <row r="15"/>
    <row r="16">
      <c r="B16" s="2" t="inlineStr">
        <is>
          <t>CASH OUTFLOWS:</t>
        </is>
      </c>
    </row>
    <row r="17">
      <c r="B17" s="13" t="inlineStr">
        <is>
          <t>Infrastructure &amp; Co-Location COGS</t>
        </is>
      </c>
      <c r="C17" s="12" t="n">
        <v>11200</v>
      </c>
      <c r="D17" s="12" t="n">
        <v>11200</v>
      </c>
      <c r="E17" s="12" t="n">
        <v>12400</v>
      </c>
      <c r="F17" s="12" t="n">
        <v>12400</v>
      </c>
      <c r="G17" s="12" t="n">
        <v>13600</v>
      </c>
      <c r="H17" s="12" t="n">
        <v>13600</v>
      </c>
      <c r="I17" s="12" t="n">
        <v>14800</v>
      </c>
      <c r="J17" s="12" t="n">
        <v>14800</v>
      </c>
      <c r="K17" s="12" t="n">
        <v>16000</v>
      </c>
      <c r="L17" s="12" t="n">
        <v>16000</v>
      </c>
      <c r="M17" s="12" t="n">
        <v>17200</v>
      </c>
      <c r="N17" s="12" t="n">
        <v>17200</v>
      </c>
    </row>
    <row r="18">
      <c r="B18" s="13" t="inlineStr">
        <is>
          <t>Engineering Payroll (4 Engineers)</t>
        </is>
      </c>
      <c r="C18" s="12" t="n">
        <v>70000</v>
      </c>
      <c r="D18" s="12" t="n">
        <v>70000</v>
      </c>
      <c r="E18" s="12" t="n">
        <v>70000</v>
      </c>
      <c r="F18" s="12" t="n">
        <v>70000</v>
      </c>
      <c r="G18" s="12" t="n">
        <v>70000</v>
      </c>
      <c r="H18" s="12" t="n">
        <v>70000</v>
      </c>
      <c r="I18" s="12" t="n">
        <v>70000</v>
      </c>
      <c r="J18" s="12" t="n">
        <v>70000</v>
      </c>
      <c r="K18" s="12" t="n">
        <v>70000</v>
      </c>
      <c r="L18" s="12" t="n">
        <v>70000</v>
      </c>
      <c r="M18" s="12" t="n">
        <v>70000</v>
      </c>
      <c r="N18" s="12" t="n">
        <v>70000</v>
      </c>
    </row>
    <row r="19">
      <c r="B19" s="13" t="inlineStr">
        <is>
          <t>Sales &amp; Business Development</t>
        </is>
      </c>
      <c r="C19" s="12" t="n">
        <v>12000</v>
      </c>
      <c r="D19" s="12" t="n">
        <v>12000</v>
      </c>
      <c r="E19" s="12" t="n">
        <v>15000</v>
      </c>
      <c r="F19" s="12" t="n">
        <v>15000</v>
      </c>
      <c r="G19" s="12" t="n">
        <v>18000</v>
      </c>
      <c r="H19" s="12" t="n">
        <v>18000</v>
      </c>
      <c r="I19" s="12" t="n">
        <v>21000</v>
      </c>
      <c r="J19" s="12" t="n">
        <v>21000</v>
      </c>
      <c r="K19" s="12" t="n">
        <v>24000</v>
      </c>
      <c r="L19" s="12" t="n">
        <v>24000</v>
      </c>
      <c r="M19" s="12" t="n">
        <v>27000</v>
      </c>
      <c r="N19" s="12" t="n">
        <v>27000</v>
      </c>
    </row>
    <row r="20">
      <c r="B20" s="13" t="inlineStr">
        <is>
          <t>Legal, Compliance &amp; Retainers</t>
        </is>
      </c>
      <c r="C20" s="12" t="n">
        <v>15000</v>
      </c>
      <c r="D20" s="12" t="n">
        <v>6000</v>
      </c>
      <c r="E20" s="12" t="n">
        <v>6000</v>
      </c>
      <c r="F20" s="12" t="n">
        <v>6000</v>
      </c>
      <c r="G20" s="12" t="n">
        <v>6000</v>
      </c>
      <c r="H20" s="12" t="n">
        <v>6000</v>
      </c>
      <c r="I20" s="12" t="n">
        <v>6000</v>
      </c>
      <c r="J20" s="12" t="n">
        <v>6000</v>
      </c>
      <c r="K20" s="12" t="n">
        <v>6000</v>
      </c>
      <c r="L20" s="12" t="n">
        <v>6000</v>
      </c>
      <c r="M20" s="12" t="n">
        <v>6000</v>
      </c>
      <c r="N20" s="12" t="n">
        <v>6000</v>
      </c>
    </row>
    <row r="21">
      <c r="B21" s="13" t="inlineStr">
        <is>
          <t>SaaS Tooling, Admin, Insurance</t>
        </is>
      </c>
      <c r="C21" s="12" t="n">
        <v>4500</v>
      </c>
      <c r="D21" s="12" t="n">
        <v>4500</v>
      </c>
      <c r="E21" s="12" t="n">
        <v>4800</v>
      </c>
      <c r="F21" s="12" t="n">
        <v>4800</v>
      </c>
      <c r="G21" s="12" t="n">
        <v>5200</v>
      </c>
      <c r="H21" s="12" t="n">
        <v>5200</v>
      </c>
      <c r="I21" s="12" t="n">
        <v>5600</v>
      </c>
      <c r="J21" s="12" t="n">
        <v>5600</v>
      </c>
      <c r="K21" s="12" t="n">
        <v>6000</v>
      </c>
      <c r="L21" s="12" t="n">
        <v>6000</v>
      </c>
      <c r="M21" s="12" t="n">
        <v>6500</v>
      </c>
      <c r="N21" s="12" t="n">
        <v>6500</v>
      </c>
    </row>
    <row r="22">
      <c r="B22" s="13" t="inlineStr">
        <is>
          <t>Total Monthly Cash Outflows</t>
        </is>
      </c>
      <c r="C22" s="27">
        <f>SUM(C17:C21)</f>
        <v/>
      </c>
      <c r="D22" s="27">
        <f>SUM(D17:D21)</f>
        <v/>
      </c>
      <c r="E22" s="27">
        <f>SUM(E17:E21)</f>
        <v/>
      </c>
      <c r="F22" s="27">
        <f>SUM(F17:F21)</f>
        <v/>
      </c>
      <c r="G22" s="27">
        <f>SUM(G17:G21)</f>
        <v/>
      </c>
      <c r="H22" s="27">
        <f>SUM(H17:H21)</f>
        <v/>
      </c>
      <c r="I22" s="27">
        <f>SUM(I17:I21)</f>
        <v/>
      </c>
      <c r="J22" s="27">
        <f>SUM(J17:J21)</f>
        <v/>
      </c>
      <c r="K22" s="27">
        <f>SUM(K17:K21)</f>
        <v/>
      </c>
      <c r="L22" s="27">
        <f>SUM(L17:L21)</f>
        <v/>
      </c>
      <c r="M22" s="27">
        <f>SUM(M17:M21)</f>
        <v/>
      </c>
      <c r="N22" s="27">
        <f>SUM(N17:N21)</f>
        <v/>
      </c>
    </row>
    <row r="23"/>
    <row r="24">
      <c r="B24" s="13" t="inlineStr">
        <is>
          <t>NET MONTHLY CASH FLOW</t>
        </is>
      </c>
      <c r="C24" s="27">
        <f>C14-C22</f>
        <v/>
      </c>
      <c r="D24" s="27">
        <f>D14-D22</f>
        <v/>
      </c>
      <c r="E24" s="27">
        <f>E14-E22</f>
        <v/>
      </c>
      <c r="F24" s="27">
        <f>F14-F22</f>
        <v/>
      </c>
      <c r="G24" s="27">
        <f>G14-G22</f>
        <v/>
      </c>
      <c r="H24" s="27">
        <f>H14-H22</f>
        <v/>
      </c>
      <c r="I24" s="27">
        <f>I14-I22</f>
        <v/>
      </c>
      <c r="J24" s="27">
        <f>J14-J22</f>
        <v/>
      </c>
      <c r="K24" s="27">
        <f>K14-K22</f>
        <v/>
      </c>
      <c r="L24" s="27">
        <f>L14-L22</f>
        <v/>
      </c>
      <c r="M24" s="27">
        <f>M14-M22</f>
        <v/>
      </c>
      <c r="N24" s="27">
        <f>N14-N22</f>
        <v/>
      </c>
    </row>
    <row r="25"/>
    <row r="26">
      <c r="B26" s="13" t="inlineStr">
        <is>
          <t>ENDING CASH BALANCE</t>
        </is>
      </c>
      <c r="C26" s="30">
        <f>C6+C24</f>
        <v/>
      </c>
      <c r="D26" s="30">
        <f>D6+D24</f>
        <v/>
      </c>
      <c r="E26" s="30">
        <f>E6+E24</f>
        <v/>
      </c>
      <c r="F26" s="30">
        <f>F6+F24</f>
        <v/>
      </c>
      <c r="G26" s="30">
        <f>G6+G24</f>
        <v/>
      </c>
      <c r="H26" s="30">
        <f>H6+H24</f>
        <v/>
      </c>
      <c r="I26" s="30">
        <f>I6+I24</f>
        <v/>
      </c>
      <c r="J26" s="30">
        <f>J6+J24</f>
        <v/>
      </c>
      <c r="K26" s="30">
        <f>K6+K24</f>
        <v/>
      </c>
      <c r="L26" s="30">
        <f>L6+L24</f>
        <v/>
      </c>
      <c r="M26" s="30">
        <f>M6+M24</f>
        <v/>
      </c>
      <c r="N26" s="30">
        <f>N6+N24</f>
        <v/>
      </c>
    </row>
    <row r="27">
      <c r="B27" s="13" t="inlineStr">
        <is>
          <t>Runway Remaining (Months at Gross Burn)</t>
        </is>
      </c>
      <c r="C27" s="32">
        <f>C26/C22</f>
        <v/>
      </c>
      <c r="D27" s="32">
        <f>D26/D22</f>
        <v/>
      </c>
      <c r="E27" s="32">
        <f>E26/E22</f>
        <v/>
      </c>
      <c r="F27" s="32">
        <f>F26/F22</f>
        <v/>
      </c>
      <c r="G27" s="32">
        <f>G26/G22</f>
        <v/>
      </c>
      <c r="H27" s="32">
        <f>H26/H22</f>
        <v/>
      </c>
      <c r="I27" s="32">
        <f>I26/I22</f>
        <v/>
      </c>
      <c r="J27" s="32">
        <f>J26/J22</f>
        <v/>
      </c>
      <c r="K27" s="32">
        <f>K26/K22</f>
        <v/>
      </c>
      <c r="L27" s="32">
        <f>L26/L22</f>
        <v/>
      </c>
      <c r="M27" s="32">
        <f>M26/M22</f>
        <v/>
      </c>
      <c r="N27" s="32">
        <f>N26/N22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87" customWidth="1" min="3" max="3"/>
    <col width="59" customWidth="1" min="4" max="4"/>
    <col width="25" customWidth="1" min="5" max="5"/>
    <col width="18" customWidth="1" min="6" max="6"/>
    <col width="15" customWidth="1" min="7" max="7"/>
  </cols>
  <sheetData>
    <row r="1"/>
    <row r="2">
      <c r="B2" s="1" t="inlineStr">
        <is>
          <t>PRISM UNIT ECONOMICS &amp; VENTURE VALUATION SENSITIVITY</t>
        </is>
      </c>
    </row>
    <row r="3">
      <c r="B3" s="3" t="inlineStr">
        <is>
          <t>Enterprise Multiple Analysis, Exit Scenarios, and Cohort Return Metrics</t>
        </is>
      </c>
    </row>
    <row r="4"/>
    <row r="5">
      <c r="B5" s="7" t="inlineStr">
        <is>
          <t>1. COHORT UNIT ECONOMICS BY PRICING TIER</t>
        </is>
      </c>
    </row>
    <row r="6">
      <c r="B6" s="8" t="inlineStr">
        <is>
          <t>Metric / Parameter</t>
        </is>
      </c>
      <c r="C6" s="9" t="inlineStr">
        <is>
          <t>Tier 1: Core API</t>
        </is>
      </c>
      <c r="D6" s="9" t="inlineStr">
        <is>
          <t>Tier 2: Inst. Desk</t>
        </is>
      </c>
      <c r="E6" s="9" t="inlineStr">
        <is>
          <t>Tier 3: Prime Direct</t>
        </is>
      </c>
      <c r="F6" s="9" t="inlineStr">
        <is>
          <t>Blended Average</t>
        </is>
      </c>
    </row>
    <row r="7">
      <c r="B7" s="10" t="inlineStr">
        <is>
          <t>Annual Contract Value (ACV)</t>
        </is>
      </c>
      <c r="C7" s="12" t="n">
        <v>30000</v>
      </c>
      <c r="D7" s="12" t="n">
        <v>144000</v>
      </c>
      <c r="E7" s="12" t="n">
        <v>420000</v>
      </c>
      <c r="F7" s="12" t="n">
        <v>162000</v>
      </c>
    </row>
    <row r="8">
      <c r="B8" s="10" t="inlineStr">
        <is>
          <t>Customer Acquisition Cost (CAC)</t>
        </is>
      </c>
      <c r="C8" s="12" t="n">
        <v>12000</v>
      </c>
      <c r="D8" s="12" t="n">
        <v>22000</v>
      </c>
      <c r="E8" s="12" t="n">
        <v>65000</v>
      </c>
      <c r="F8" s="12" t="n">
        <v>28000</v>
      </c>
    </row>
    <row r="9">
      <c r="B9" s="13" t="inlineStr">
        <is>
          <t>Payback Period (Months)</t>
        </is>
      </c>
      <c r="C9" s="33">
        <f>(C8/C7)*12</f>
        <v/>
      </c>
      <c r="D9" s="33">
        <f>(D8/D7)*12</f>
        <v/>
      </c>
      <c r="E9" s="33">
        <f>(E8/E7)*12</f>
        <v/>
      </c>
      <c r="F9" s="33">
        <f>(F8/F7)*12</f>
        <v/>
      </c>
    </row>
    <row r="10">
      <c r="B10" s="10" t="inlineStr">
        <is>
          <t>Gross Margin Contribution %</t>
        </is>
      </c>
      <c r="C10" s="16" t="n">
        <v>0.92</v>
      </c>
      <c r="D10" s="16" t="n">
        <v>0.9399999999999999</v>
      </c>
      <c r="E10" s="16" t="n">
        <v>0.96</v>
      </c>
      <c r="F10" s="16" t="n">
        <v>0.9399999999999999</v>
      </c>
    </row>
    <row r="11">
      <c r="B11" s="10" t="inlineStr">
        <is>
          <t>Annual Churn Rate %</t>
        </is>
      </c>
      <c r="C11" s="16" t="n">
        <v>0.08</v>
      </c>
      <c r="D11" s="16" t="n">
        <v>0.04</v>
      </c>
      <c r="E11" s="16" t="n">
        <v>0.02</v>
      </c>
      <c r="F11" s="16" t="n">
        <v>0.045</v>
      </c>
    </row>
    <row r="12">
      <c r="B12" s="10" t="inlineStr">
        <is>
          <t>Customer Lifetime (Years)</t>
        </is>
      </c>
      <c r="C12" s="32">
        <f>1/C11</f>
        <v/>
      </c>
      <c r="D12" s="32">
        <f>1/D11</f>
        <v/>
      </c>
      <c r="E12" s="32">
        <f>1/E11</f>
        <v/>
      </c>
      <c r="F12" s="32">
        <f>1/F11</f>
        <v/>
      </c>
    </row>
    <row r="13">
      <c r="B13" s="10" t="inlineStr">
        <is>
          <t>Lifetime Value (LTV)</t>
        </is>
      </c>
      <c r="C13" s="12">
        <f>C7*C10*C12</f>
        <v/>
      </c>
      <c r="D13" s="12">
        <f>D7*D10*D12</f>
        <v/>
      </c>
      <c r="E13" s="12">
        <f>E7*E10*E12</f>
        <v/>
      </c>
      <c r="F13" s="12">
        <f>F7*F10*F12</f>
        <v/>
      </c>
    </row>
    <row r="14">
      <c r="B14" s="13" t="inlineStr">
        <is>
          <t>LTV / CAC Ratio</t>
        </is>
      </c>
      <c r="C14" s="34">
        <f>C13/C8</f>
        <v/>
      </c>
      <c r="D14" s="34">
        <f>D13/D8</f>
        <v/>
      </c>
      <c r="E14" s="34">
        <f>E13/E8</f>
        <v/>
      </c>
      <c r="F14" s="34">
        <f>F13/F8</f>
        <v/>
      </c>
    </row>
    <row r="15"/>
    <row r="16"/>
    <row r="17">
      <c r="B17" s="7" t="inlineStr">
        <is>
          <t>2. VALUATION SENSITIVITY TABLE (ARR MULTIPLES vs FORWARD REVENUE)</t>
        </is>
      </c>
    </row>
    <row r="18">
      <c r="B18" s="8" t="inlineStr">
        <is>
          <t>ARR Multiple</t>
        </is>
      </c>
      <c r="C18" s="9" t="inlineStr">
        <is>
          <t>Year 1 ARR</t>
        </is>
      </c>
      <c r="D18" s="9" t="inlineStr">
        <is>
          <t>Year 2 ARR</t>
        </is>
      </c>
      <c r="E18" s="9" t="inlineStr">
        <is>
          <t>Year 3 ARR</t>
        </is>
      </c>
      <c r="F18" s="9" t="inlineStr">
        <is>
          <t>Year 4 ARR</t>
        </is>
      </c>
      <c r="G18" s="9" t="inlineStr">
        <is>
          <t>Year 5 ARR</t>
        </is>
      </c>
    </row>
    <row r="19">
      <c r="B19" s="13" t="inlineStr">
        <is>
          <t>15x Forward ARR Multiple</t>
        </is>
      </c>
      <c r="C19" s="12">
        <f>'5-Year Pro-Forma'!C26*15.0</f>
        <v/>
      </c>
      <c r="D19" s="12">
        <f>'5-Year Pro-Forma'!D26*15.0</f>
        <v/>
      </c>
      <c r="E19" s="12">
        <f>'5-Year Pro-Forma'!E26*15.0</f>
        <v/>
      </c>
      <c r="F19" s="12">
        <f>'5-Year Pro-Forma'!F26*15.0</f>
        <v/>
      </c>
      <c r="G19" s="12">
        <f>'5-Year Pro-Forma'!G26*15.0</f>
        <v/>
      </c>
    </row>
    <row r="20">
      <c r="B20" s="13" t="inlineStr">
        <is>
          <t>20x Forward ARR Multiple</t>
        </is>
      </c>
      <c r="C20" s="12">
        <f>'5-Year Pro-Forma'!C26*20.0</f>
        <v/>
      </c>
      <c r="D20" s="12">
        <f>'5-Year Pro-Forma'!D26*20.0</f>
        <v/>
      </c>
      <c r="E20" s="12">
        <f>'5-Year Pro-Forma'!E26*20.0</f>
        <v/>
      </c>
      <c r="F20" s="12">
        <f>'5-Year Pro-Forma'!F26*20.0</f>
        <v/>
      </c>
      <c r="G20" s="12">
        <f>'5-Year Pro-Forma'!G26*20.0</f>
        <v/>
      </c>
    </row>
    <row r="21">
      <c r="B21" s="13" t="inlineStr">
        <is>
          <t>25x Forward ARR Multiple</t>
        </is>
      </c>
      <c r="C21" s="35">
        <f>'5-Year Pro-Forma'!C26*25.0</f>
        <v/>
      </c>
      <c r="D21" s="35">
        <f>'5-Year Pro-Forma'!D26*25.0</f>
        <v/>
      </c>
      <c r="E21" s="35">
        <f>'5-Year Pro-Forma'!E26*25.0</f>
        <v/>
      </c>
      <c r="F21" s="35">
        <f>'5-Year Pro-Forma'!F26*25.0</f>
        <v/>
      </c>
      <c r="G21" s="35">
        <f>'5-Year Pro-Forma'!G26*25.0</f>
        <v/>
      </c>
    </row>
    <row r="22">
      <c r="B22" s="13" t="inlineStr">
        <is>
          <t>30x Forward ARR Multiple</t>
        </is>
      </c>
      <c r="C22" s="12">
        <f>'5-Year Pro-Forma'!C26*30.0</f>
        <v/>
      </c>
      <c r="D22" s="12">
        <f>'5-Year Pro-Forma'!D26*30.0</f>
        <v/>
      </c>
      <c r="E22" s="12">
        <f>'5-Year Pro-Forma'!E26*30.0</f>
        <v/>
      </c>
      <c r="F22" s="12">
        <f>'5-Year Pro-Forma'!F26*30.0</f>
        <v/>
      </c>
      <c r="G22" s="12">
        <f>'5-Year Pro-Forma'!G26*30.0</f>
        <v/>
      </c>
    </row>
    <row r="23">
      <c r="B23" s="13" t="inlineStr">
        <is>
          <t>35x Forward ARR Multiple</t>
        </is>
      </c>
      <c r="C23" s="12">
        <f>'5-Year Pro-Forma'!C26*35.0</f>
        <v/>
      </c>
      <c r="D23" s="12">
        <f>'5-Year Pro-Forma'!D26*35.0</f>
        <v/>
      </c>
      <c r="E23" s="12">
        <f>'5-Year Pro-Forma'!E26*35.0</f>
        <v/>
      </c>
      <c r="F23" s="12">
        <f>'5-Year Pro-Forma'!F26*35.0</f>
        <v/>
      </c>
      <c r="G23" s="12">
        <f>'5-Year Pro-Forma'!G26*35.0</f>
        <v/>
      </c>
    </row>
    <row r="24"/>
    <row r="25"/>
    <row r="26">
      <c r="B26" s="7" t="inlineStr">
        <is>
          <t>3. STRATEGIC M&amp;A &amp; EXIT BENCHMARKS</t>
        </is>
      </c>
    </row>
    <row r="27">
      <c r="B27" s="8" t="inlineStr">
        <is>
          <t>Potential Acquirer</t>
        </is>
      </c>
      <c r="C27" s="8" t="inlineStr">
        <is>
          <t>Strategic Rationale</t>
        </is>
      </c>
      <c r="D27" s="8" t="inlineStr">
        <is>
          <t>Comparable Deal Benchmark</t>
        </is>
      </c>
      <c r="E27" s="9" t="inlineStr">
        <is>
          <t>Target Valuation Range</t>
        </is>
      </c>
    </row>
    <row r="28">
      <c r="B28" s="13" t="inlineStr">
        <is>
          <t>Intercontinental Exchange (ICE / NYSE)</t>
        </is>
      </c>
      <c r="C28" s="10" t="inlineStr">
        <is>
          <t>Acquisition of primary cross-venue event derivative routing utility</t>
        </is>
      </c>
      <c r="D28" s="21" t="inlineStr">
        <is>
          <t>ICE acquired Ellie Mae ($11B) &amp; SuperDerivatives ($350M)</t>
        </is>
      </c>
      <c r="E28" s="36" t="inlineStr">
        <is>
          <t>$450M - $850M</t>
        </is>
      </c>
    </row>
    <row r="29">
      <c r="B29" s="13" t="inlineStr">
        <is>
          <t>Bloomberg LP / Tradebook</t>
        </is>
      </c>
      <c r="C29" s="10" t="inlineStr">
        <is>
          <t>Incorporation into 350k+ Bloomberg Terminals as native event execution engine</t>
        </is>
      </c>
      <c r="D29" s="21" t="inlineStr">
        <is>
          <t>Bloomberg acquisitions of EMS/OEMS utilities</t>
        </is>
      </c>
      <c r="E29" s="36" t="inlineStr">
        <is>
          <t>$300M - $600M</t>
        </is>
      </c>
    </row>
    <row r="30">
      <c r="B30" s="13" t="inlineStr">
        <is>
          <t>CME Group</t>
        </is>
      </c>
      <c r="C30" s="10" t="inlineStr">
        <is>
          <t>Integration with CME Event Contracts to dominate institutional macro derivative flow</t>
        </is>
      </c>
      <c r="D30" s="21" t="inlineStr">
        <is>
          <t>CME acquired NEX Group ($5.5B)</t>
        </is>
      </c>
      <c r="E30" s="36" t="inlineStr">
        <is>
          <t>$500M - $1.2B</t>
        </is>
      </c>
    </row>
    <row r="31">
      <c r="B31" s="13" t="inlineStr">
        <is>
          <t>Citadel Securities / Jane Street</t>
        </is>
      </c>
      <c r="C31" s="10" t="inlineStr">
        <is>
          <t>Internalization of high-value non-toxic institutional event flow</t>
        </is>
      </c>
      <c r="D31" s="21" t="inlineStr">
        <is>
          <t>Virtu acquired ITG ($1B)</t>
        </is>
      </c>
      <c r="E31" s="36" t="inlineStr">
        <is>
          <t>$350M - $750M</t>
        </is>
      </c>
    </row>
    <row r="32">
      <c r="B32" s="13" t="inlineStr">
        <is>
          <t>Coinbase Institutional</t>
        </is>
      </c>
      <c r="C32" s="10" t="inlineStr">
        <is>
          <t>Expansion from crypto spot/perps into global regulated event prediction markets</t>
        </is>
      </c>
      <c r="D32" s="21" t="inlineStr">
        <is>
          <t>Coinbase acquired Tagomi ($100M+)</t>
        </is>
      </c>
      <c r="E32" s="36" t="inlineStr">
        <is>
          <t>$250M - $500M</t>
        </is>
      </c>
    </row>
  </sheetData>
  <mergeCells count="3">
    <mergeCell ref="B26:G26"/>
    <mergeCell ref="B17:G17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2026-10-07T20:26:43Z</dcterms:created>
  <dcterms:modified xsi:type="dcterms:W3CDTF">2026-10-07T20:26:43Z</dcterms:modified>
</cp:coreProperties>
</file>